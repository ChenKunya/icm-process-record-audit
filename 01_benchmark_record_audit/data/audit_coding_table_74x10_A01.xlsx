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Carson\论文\基于大语言模型的智能体综述：接口、核心组件与动态机制\修订稿件R2\项目文件\01_benchmark_record_audit\data\"/>
    </mc:Choice>
  </mc:AlternateContent>
  <xr:revisionPtr revIDLastSave="0" documentId="13_ncr:1_{255CC16C-DB95-48B5-8592-0C46CB94FA96}" xr6:coauthVersionLast="47" xr6:coauthVersionMax="47" xr10:uidLastSave="{00000000-0000-0000-0000-000000000000}"/>
  <bookViews>
    <workbookView xWindow="-120" yWindow="-120" windowWidth="29040" windowHeight="15720" activeTab="2" xr2:uid="{00000000-000D-0000-FFFF-FFFF00000000}"/>
  </bookViews>
  <sheets>
    <sheet name="Instructions" sheetId="1" r:id="rId1"/>
    <sheet name="Coding" sheetId="2" r:id="rId2"/>
    <sheet name="Benchmark register" sheetId="3" r:id="rId3"/>
    <sheet name="Coder information" sheetId="4" r:id="rId4"/>
  </sheets>
  <definedNames>
    <definedName name="_xlnm._FilterDatabase" localSheetId="1" hidden="1">Coding!$A$1:$N$741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741" i="2" l="1"/>
  <c r="M741" i="2"/>
  <c r="N740" i="2"/>
  <c r="M740" i="2"/>
  <c r="N739" i="2"/>
  <c r="M739" i="2"/>
  <c r="N738" i="2"/>
  <c r="M738" i="2"/>
  <c r="N737" i="2"/>
  <c r="M737" i="2"/>
  <c r="N736" i="2"/>
  <c r="M736" i="2"/>
  <c r="N735" i="2"/>
  <c r="M735" i="2"/>
  <c r="N734" i="2"/>
  <c r="M734" i="2"/>
  <c r="N733" i="2"/>
  <c r="M733" i="2"/>
  <c r="N732" i="2"/>
  <c r="M732" i="2"/>
  <c r="N731" i="2"/>
  <c r="M731" i="2"/>
  <c r="N730" i="2"/>
  <c r="M730" i="2"/>
  <c r="N729" i="2"/>
  <c r="M729" i="2"/>
  <c r="N728" i="2"/>
  <c r="M728" i="2"/>
  <c r="N727" i="2"/>
  <c r="M727" i="2"/>
  <c r="N726" i="2"/>
  <c r="M726" i="2"/>
  <c r="N725" i="2"/>
  <c r="M725" i="2"/>
  <c r="N724" i="2"/>
  <c r="M724" i="2"/>
  <c r="N723" i="2"/>
  <c r="M723" i="2"/>
  <c r="N722" i="2"/>
  <c r="M722" i="2"/>
  <c r="N721" i="2"/>
  <c r="M721" i="2"/>
  <c r="N720" i="2"/>
  <c r="M720" i="2"/>
  <c r="N719" i="2"/>
  <c r="M719" i="2"/>
  <c r="N718" i="2"/>
  <c r="M718" i="2"/>
  <c r="N717" i="2"/>
  <c r="M717" i="2"/>
  <c r="N716" i="2"/>
  <c r="M716" i="2"/>
  <c r="N715" i="2"/>
  <c r="M715" i="2"/>
  <c r="N714" i="2"/>
  <c r="M714" i="2"/>
  <c r="N713" i="2"/>
  <c r="M713" i="2"/>
  <c r="N712" i="2"/>
  <c r="M712" i="2"/>
  <c r="N711" i="2"/>
  <c r="M711" i="2"/>
  <c r="N710" i="2"/>
  <c r="M710" i="2"/>
  <c r="N709" i="2"/>
  <c r="M709" i="2"/>
  <c r="N708" i="2"/>
  <c r="M708" i="2"/>
  <c r="N707" i="2"/>
  <c r="M707" i="2"/>
  <c r="N706" i="2"/>
  <c r="M706" i="2"/>
  <c r="N705" i="2"/>
  <c r="M705" i="2"/>
  <c r="N704" i="2"/>
  <c r="M704" i="2"/>
  <c r="N703" i="2"/>
  <c r="M703" i="2"/>
  <c r="N702" i="2"/>
  <c r="M702" i="2"/>
  <c r="N701" i="2"/>
  <c r="M701" i="2"/>
  <c r="N700" i="2"/>
  <c r="M700" i="2"/>
  <c r="N699" i="2"/>
  <c r="M699" i="2"/>
  <c r="N698" i="2"/>
  <c r="M698" i="2"/>
  <c r="N697" i="2"/>
  <c r="M697" i="2"/>
  <c r="N696" i="2"/>
  <c r="M696" i="2"/>
  <c r="N695" i="2"/>
  <c r="M695" i="2"/>
  <c r="N694" i="2"/>
  <c r="M694" i="2"/>
  <c r="N693" i="2"/>
  <c r="M693" i="2"/>
  <c r="N692" i="2"/>
  <c r="M692" i="2"/>
  <c r="N691" i="2"/>
  <c r="M691" i="2"/>
  <c r="N690" i="2"/>
  <c r="M690" i="2"/>
  <c r="N689" i="2"/>
  <c r="M689" i="2"/>
  <c r="N688" i="2"/>
  <c r="M688" i="2"/>
  <c r="N687" i="2"/>
  <c r="M687" i="2"/>
  <c r="N686" i="2"/>
  <c r="M686" i="2"/>
  <c r="N685" i="2"/>
  <c r="M685" i="2"/>
  <c r="N684" i="2"/>
  <c r="M684" i="2"/>
  <c r="N683" i="2"/>
  <c r="M683" i="2"/>
  <c r="N682" i="2"/>
  <c r="M682" i="2"/>
  <c r="N681" i="2"/>
  <c r="M681" i="2"/>
  <c r="N680" i="2"/>
  <c r="M680" i="2"/>
  <c r="N679" i="2"/>
  <c r="M679" i="2"/>
  <c r="N678" i="2"/>
  <c r="M678" i="2"/>
  <c r="N677" i="2"/>
  <c r="M677" i="2"/>
  <c r="N676" i="2"/>
  <c r="M676" i="2"/>
  <c r="N675" i="2"/>
  <c r="M675" i="2"/>
  <c r="N674" i="2"/>
  <c r="M674" i="2"/>
  <c r="N673" i="2"/>
  <c r="M673" i="2"/>
  <c r="N672" i="2"/>
  <c r="M672" i="2"/>
  <c r="N671" i="2"/>
  <c r="M671" i="2"/>
  <c r="N670" i="2"/>
  <c r="M670" i="2"/>
  <c r="N669" i="2"/>
  <c r="M669" i="2"/>
  <c r="N668" i="2"/>
  <c r="M668" i="2"/>
  <c r="N667" i="2"/>
  <c r="M667" i="2"/>
  <c r="N666" i="2"/>
  <c r="M666" i="2"/>
  <c r="N665" i="2"/>
  <c r="M665" i="2"/>
  <c r="N664" i="2"/>
  <c r="M664" i="2"/>
  <c r="N663" i="2"/>
  <c r="M663" i="2"/>
  <c r="N662" i="2"/>
  <c r="M662" i="2"/>
  <c r="N661" i="2"/>
  <c r="M661" i="2"/>
  <c r="N660" i="2"/>
  <c r="M660" i="2"/>
  <c r="N659" i="2"/>
  <c r="M659" i="2"/>
  <c r="N658" i="2"/>
  <c r="M658" i="2"/>
  <c r="N657" i="2"/>
  <c r="M657" i="2"/>
  <c r="N656" i="2"/>
  <c r="M656" i="2"/>
  <c r="N655" i="2"/>
  <c r="M655" i="2"/>
  <c r="N654" i="2"/>
  <c r="M654" i="2"/>
  <c r="N653" i="2"/>
  <c r="M653" i="2"/>
  <c r="N652" i="2"/>
  <c r="M652" i="2"/>
  <c r="N651" i="2"/>
  <c r="M651" i="2"/>
  <c r="N650" i="2"/>
  <c r="M650" i="2"/>
  <c r="N649" i="2"/>
  <c r="M649" i="2"/>
  <c r="N648" i="2"/>
  <c r="M648" i="2"/>
  <c r="N647" i="2"/>
  <c r="M647" i="2"/>
  <c r="N646" i="2"/>
  <c r="M646" i="2"/>
  <c r="N645" i="2"/>
  <c r="M645" i="2"/>
  <c r="N644" i="2"/>
  <c r="M644" i="2"/>
  <c r="N643" i="2"/>
  <c r="M643" i="2"/>
  <c r="N642" i="2"/>
  <c r="M642" i="2"/>
  <c r="N641" i="2"/>
  <c r="M641" i="2"/>
  <c r="N640" i="2"/>
  <c r="M640" i="2"/>
  <c r="N639" i="2"/>
  <c r="M639" i="2"/>
  <c r="N638" i="2"/>
  <c r="M638" i="2"/>
  <c r="N637" i="2"/>
  <c r="M637" i="2"/>
  <c r="N636" i="2"/>
  <c r="M636" i="2"/>
  <c r="N635" i="2"/>
  <c r="M635" i="2"/>
  <c r="N634" i="2"/>
  <c r="M634" i="2"/>
  <c r="N633" i="2"/>
  <c r="M633" i="2"/>
  <c r="N632" i="2"/>
  <c r="M632" i="2"/>
  <c r="N631" i="2"/>
  <c r="M631" i="2"/>
  <c r="N630" i="2"/>
  <c r="M630" i="2"/>
  <c r="N629" i="2"/>
  <c r="M629" i="2"/>
  <c r="N628" i="2"/>
  <c r="M628" i="2"/>
  <c r="N627" i="2"/>
  <c r="M627" i="2"/>
  <c r="N626" i="2"/>
  <c r="M626" i="2"/>
  <c r="N625" i="2"/>
  <c r="M625" i="2"/>
  <c r="N624" i="2"/>
  <c r="M624" i="2"/>
  <c r="N623" i="2"/>
  <c r="M623" i="2"/>
  <c r="N622" i="2"/>
  <c r="M622" i="2"/>
  <c r="N621" i="2"/>
  <c r="M621" i="2"/>
  <c r="N620" i="2"/>
  <c r="M620" i="2"/>
  <c r="N619" i="2"/>
  <c r="M619" i="2"/>
  <c r="N618" i="2"/>
  <c r="M618" i="2"/>
  <c r="N617" i="2"/>
  <c r="M617" i="2"/>
  <c r="N616" i="2"/>
  <c r="M616" i="2"/>
  <c r="N615" i="2"/>
  <c r="M615" i="2"/>
  <c r="N614" i="2"/>
  <c r="M614" i="2"/>
  <c r="N613" i="2"/>
  <c r="M613" i="2"/>
  <c r="N612" i="2"/>
  <c r="M612" i="2"/>
  <c r="N611" i="2"/>
  <c r="M611" i="2"/>
  <c r="N610" i="2"/>
  <c r="M610" i="2"/>
  <c r="N609" i="2"/>
  <c r="M609" i="2"/>
  <c r="N608" i="2"/>
  <c r="M608" i="2"/>
  <c r="N607" i="2"/>
  <c r="M607" i="2"/>
  <c r="N606" i="2"/>
  <c r="M606" i="2"/>
  <c r="N605" i="2"/>
  <c r="M605" i="2"/>
  <c r="N604" i="2"/>
  <c r="M604" i="2"/>
  <c r="N603" i="2"/>
  <c r="M603" i="2"/>
  <c r="N602" i="2"/>
  <c r="M602" i="2"/>
  <c r="N601" i="2"/>
  <c r="M601" i="2"/>
  <c r="N600" i="2"/>
  <c r="M600" i="2"/>
  <c r="N599" i="2"/>
  <c r="M599" i="2"/>
  <c r="N598" i="2"/>
  <c r="M598" i="2"/>
  <c r="N597" i="2"/>
  <c r="M597" i="2"/>
  <c r="N596" i="2"/>
  <c r="M596" i="2"/>
  <c r="N595" i="2"/>
  <c r="M595" i="2"/>
  <c r="N594" i="2"/>
  <c r="M594" i="2"/>
  <c r="N593" i="2"/>
  <c r="M593" i="2"/>
  <c r="N592" i="2"/>
  <c r="M592" i="2"/>
  <c r="N591" i="2"/>
  <c r="M591" i="2"/>
  <c r="N590" i="2"/>
  <c r="M590" i="2"/>
  <c r="N589" i="2"/>
  <c r="M589" i="2"/>
  <c r="N588" i="2"/>
  <c r="M588" i="2"/>
  <c r="N587" i="2"/>
  <c r="M587" i="2"/>
  <c r="N586" i="2"/>
  <c r="M586" i="2"/>
  <c r="N585" i="2"/>
  <c r="M585" i="2"/>
  <c r="N584" i="2"/>
  <c r="M584" i="2"/>
  <c r="N583" i="2"/>
  <c r="M583" i="2"/>
  <c r="N582" i="2"/>
  <c r="M582" i="2"/>
  <c r="N581" i="2"/>
  <c r="M581" i="2"/>
  <c r="N580" i="2"/>
  <c r="M580" i="2"/>
  <c r="N579" i="2"/>
  <c r="M579" i="2"/>
  <c r="N578" i="2"/>
  <c r="M578" i="2"/>
  <c r="N577" i="2"/>
  <c r="M577" i="2"/>
  <c r="N576" i="2"/>
  <c r="M576" i="2"/>
  <c r="N575" i="2"/>
  <c r="M575" i="2"/>
  <c r="N574" i="2"/>
  <c r="M574" i="2"/>
  <c r="N573" i="2"/>
  <c r="M573" i="2"/>
  <c r="N572" i="2"/>
  <c r="M572" i="2"/>
  <c r="N571" i="2"/>
  <c r="M571" i="2"/>
  <c r="N570" i="2"/>
  <c r="M570" i="2"/>
  <c r="N569" i="2"/>
  <c r="M569" i="2"/>
  <c r="N568" i="2"/>
  <c r="M568" i="2"/>
  <c r="N567" i="2"/>
  <c r="M567" i="2"/>
  <c r="N566" i="2"/>
  <c r="M566" i="2"/>
  <c r="N565" i="2"/>
  <c r="M565" i="2"/>
  <c r="N564" i="2"/>
  <c r="M564" i="2"/>
  <c r="N563" i="2"/>
  <c r="M563" i="2"/>
  <c r="N562" i="2"/>
  <c r="M562" i="2"/>
  <c r="N561" i="2"/>
  <c r="M561" i="2"/>
  <c r="N560" i="2"/>
  <c r="M560" i="2"/>
  <c r="N559" i="2"/>
  <c r="M559" i="2"/>
  <c r="N558" i="2"/>
  <c r="M558" i="2"/>
  <c r="N557" i="2"/>
  <c r="M557" i="2"/>
  <c r="N556" i="2"/>
  <c r="M556" i="2"/>
  <c r="N555" i="2"/>
  <c r="M555" i="2"/>
  <c r="N554" i="2"/>
  <c r="M554" i="2"/>
  <c r="N553" i="2"/>
  <c r="M553" i="2"/>
  <c r="N552" i="2"/>
  <c r="M552" i="2"/>
  <c r="N551" i="2"/>
  <c r="M551" i="2"/>
  <c r="N550" i="2"/>
  <c r="M550" i="2"/>
  <c r="N549" i="2"/>
  <c r="M549" i="2"/>
  <c r="N548" i="2"/>
  <c r="M548" i="2"/>
  <c r="N547" i="2"/>
  <c r="M547" i="2"/>
  <c r="N546" i="2"/>
  <c r="M546" i="2"/>
  <c r="N545" i="2"/>
  <c r="M545" i="2"/>
  <c r="N544" i="2"/>
  <c r="M544" i="2"/>
  <c r="N543" i="2"/>
  <c r="M543" i="2"/>
  <c r="N542" i="2"/>
  <c r="M542" i="2"/>
  <c r="N541" i="2"/>
  <c r="M541" i="2"/>
  <c r="N540" i="2"/>
  <c r="M540" i="2"/>
  <c r="N539" i="2"/>
  <c r="M539" i="2"/>
  <c r="N538" i="2"/>
  <c r="M538" i="2"/>
  <c r="N537" i="2"/>
  <c r="M537" i="2"/>
  <c r="N536" i="2"/>
  <c r="M536" i="2"/>
  <c r="N535" i="2"/>
  <c r="M535" i="2"/>
  <c r="N534" i="2"/>
  <c r="M534" i="2"/>
  <c r="N533" i="2"/>
  <c r="M533" i="2"/>
  <c r="N532" i="2"/>
  <c r="M532" i="2"/>
  <c r="N531" i="2"/>
  <c r="M531" i="2"/>
  <c r="N530" i="2"/>
  <c r="M530" i="2"/>
  <c r="N529" i="2"/>
  <c r="M529" i="2"/>
  <c r="N528" i="2"/>
  <c r="M528" i="2"/>
  <c r="N527" i="2"/>
  <c r="M527" i="2"/>
  <c r="N526" i="2"/>
  <c r="M526" i="2"/>
  <c r="N525" i="2"/>
  <c r="M525" i="2"/>
  <c r="N524" i="2"/>
  <c r="M524" i="2"/>
  <c r="N523" i="2"/>
  <c r="M523" i="2"/>
  <c r="N522" i="2"/>
  <c r="M522" i="2"/>
  <c r="N521" i="2"/>
  <c r="M521" i="2"/>
  <c r="N520" i="2"/>
  <c r="M520" i="2"/>
  <c r="N519" i="2"/>
  <c r="M519" i="2"/>
  <c r="N518" i="2"/>
  <c r="M518" i="2"/>
  <c r="N517" i="2"/>
  <c r="M517" i="2"/>
  <c r="N516" i="2"/>
  <c r="M516" i="2"/>
  <c r="N515" i="2"/>
  <c r="M515" i="2"/>
  <c r="N514" i="2"/>
  <c r="M514" i="2"/>
  <c r="N513" i="2"/>
  <c r="M513" i="2"/>
  <c r="N512" i="2"/>
  <c r="M512" i="2"/>
  <c r="N511" i="2"/>
  <c r="M511" i="2"/>
  <c r="N510" i="2"/>
  <c r="M510" i="2"/>
  <c r="N509" i="2"/>
  <c r="M509" i="2"/>
  <c r="N508" i="2"/>
  <c r="M508" i="2"/>
  <c r="N507" i="2"/>
  <c r="M507" i="2"/>
  <c r="N506" i="2"/>
  <c r="M506" i="2"/>
  <c r="N505" i="2"/>
  <c r="M505" i="2"/>
  <c r="N504" i="2"/>
  <c r="M504" i="2"/>
  <c r="N503" i="2"/>
  <c r="M503" i="2"/>
  <c r="N502" i="2"/>
  <c r="M502" i="2"/>
  <c r="N501" i="2"/>
  <c r="M501" i="2"/>
  <c r="N500" i="2"/>
  <c r="M500" i="2"/>
  <c r="N499" i="2"/>
  <c r="M499" i="2"/>
  <c r="N498" i="2"/>
  <c r="M498" i="2"/>
  <c r="N497" i="2"/>
  <c r="M497" i="2"/>
  <c r="N496" i="2"/>
  <c r="M496" i="2"/>
  <c r="N495" i="2"/>
  <c r="M495" i="2"/>
  <c r="N494" i="2"/>
  <c r="M494" i="2"/>
  <c r="N493" i="2"/>
  <c r="M493" i="2"/>
  <c r="N492" i="2"/>
  <c r="M492" i="2"/>
  <c r="N491" i="2"/>
  <c r="M491" i="2"/>
  <c r="N490" i="2"/>
  <c r="M490" i="2"/>
  <c r="N489" i="2"/>
  <c r="M489" i="2"/>
  <c r="N488" i="2"/>
  <c r="M488" i="2"/>
  <c r="N487" i="2"/>
  <c r="M487" i="2"/>
  <c r="N486" i="2"/>
  <c r="M486" i="2"/>
  <c r="N485" i="2"/>
  <c r="M485" i="2"/>
  <c r="N484" i="2"/>
  <c r="M484" i="2"/>
  <c r="N483" i="2"/>
  <c r="M483" i="2"/>
  <c r="N482" i="2"/>
  <c r="M482" i="2"/>
  <c r="N481" i="2"/>
  <c r="M481" i="2"/>
  <c r="N480" i="2"/>
  <c r="M480" i="2"/>
  <c r="N479" i="2"/>
  <c r="M479" i="2"/>
  <c r="N478" i="2"/>
  <c r="M478" i="2"/>
  <c r="N477" i="2"/>
  <c r="M477" i="2"/>
  <c r="N476" i="2"/>
  <c r="M476" i="2"/>
  <c r="N475" i="2"/>
  <c r="M475" i="2"/>
  <c r="N474" i="2"/>
  <c r="M474" i="2"/>
  <c r="N473" i="2"/>
  <c r="M473" i="2"/>
  <c r="N472" i="2"/>
  <c r="M472" i="2"/>
  <c r="N471" i="2"/>
  <c r="M471" i="2"/>
  <c r="N470" i="2"/>
  <c r="M470" i="2"/>
  <c r="N469" i="2"/>
  <c r="M469" i="2"/>
  <c r="N468" i="2"/>
  <c r="M468" i="2"/>
  <c r="N467" i="2"/>
  <c r="M467" i="2"/>
  <c r="N466" i="2"/>
  <c r="M466" i="2"/>
  <c r="N465" i="2"/>
  <c r="M465" i="2"/>
  <c r="N464" i="2"/>
  <c r="M464" i="2"/>
  <c r="N463" i="2"/>
  <c r="M463" i="2"/>
  <c r="N462" i="2"/>
  <c r="M462" i="2"/>
  <c r="N461" i="2"/>
  <c r="M461" i="2"/>
  <c r="N460" i="2"/>
  <c r="M460" i="2"/>
  <c r="N459" i="2"/>
  <c r="M459" i="2"/>
  <c r="N458" i="2"/>
  <c r="M458" i="2"/>
  <c r="N457" i="2"/>
  <c r="M457" i="2"/>
  <c r="N456" i="2"/>
  <c r="M456" i="2"/>
  <c r="N455" i="2"/>
  <c r="M455" i="2"/>
  <c r="N454" i="2"/>
  <c r="M454" i="2"/>
  <c r="N453" i="2"/>
  <c r="M453" i="2"/>
  <c r="N452" i="2"/>
  <c r="M452" i="2"/>
  <c r="N451" i="2"/>
  <c r="M451" i="2"/>
  <c r="N450" i="2"/>
  <c r="M450" i="2"/>
  <c r="N449" i="2"/>
  <c r="M449" i="2"/>
  <c r="N448" i="2"/>
  <c r="M448" i="2"/>
  <c r="N447" i="2"/>
  <c r="M447" i="2"/>
  <c r="N446" i="2"/>
  <c r="M446" i="2"/>
  <c r="N445" i="2"/>
  <c r="M445" i="2"/>
  <c r="N444" i="2"/>
  <c r="M444" i="2"/>
  <c r="N443" i="2"/>
  <c r="M443" i="2"/>
  <c r="N442" i="2"/>
  <c r="M442" i="2"/>
  <c r="N441" i="2"/>
  <c r="M441" i="2"/>
  <c r="N440" i="2"/>
  <c r="M440" i="2"/>
  <c r="N439" i="2"/>
  <c r="M439" i="2"/>
  <c r="N438" i="2"/>
  <c r="M438" i="2"/>
  <c r="N437" i="2"/>
  <c r="M437" i="2"/>
  <c r="N436" i="2"/>
  <c r="M436" i="2"/>
  <c r="N435" i="2"/>
  <c r="M435" i="2"/>
  <c r="N434" i="2"/>
  <c r="M434" i="2"/>
  <c r="N433" i="2"/>
  <c r="M433" i="2"/>
  <c r="N432" i="2"/>
  <c r="M432" i="2"/>
  <c r="N431" i="2"/>
  <c r="M431" i="2"/>
  <c r="N430" i="2"/>
  <c r="M430" i="2"/>
  <c r="N429" i="2"/>
  <c r="M429" i="2"/>
  <c r="N428" i="2"/>
  <c r="M428" i="2"/>
  <c r="N427" i="2"/>
  <c r="M427" i="2"/>
  <c r="N426" i="2"/>
  <c r="M426" i="2"/>
  <c r="N425" i="2"/>
  <c r="M425" i="2"/>
  <c r="N424" i="2"/>
  <c r="M424" i="2"/>
  <c r="N423" i="2"/>
  <c r="M423" i="2"/>
  <c r="N422" i="2"/>
  <c r="M422" i="2"/>
  <c r="N421" i="2"/>
  <c r="M421" i="2"/>
  <c r="N420" i="2"/>
  <c r="M420" i="2"/>
  <c r="N419" i="2"/>
  <c r="M419" i="2"/>
  <c r="N418" i="2"/>
  <c r="M418" i="2"/>
  <c r="N417" i="2"/>
  <c r="M417" i="2"/>
  <c r="N416" i="2"/>
  <c r="M416" i="2"/>
  <c r="N415" i="2"/>
  <c r="M415" i="2"/>
  <c r="N414" i="2"/>
  <c r="M414" i="2"/>
  <c r="N413" i="2"/>
  <c r="M413" i="2"/>
  <c r="N412" i="2"/>
  <c r="M412" i="2"/>
  <c r="N411" i="2"/>
  <c r="M411" i="2"/>
  <c r="N410" i="2"/>
  <c r="M410" i="2"/>
  <c r="N409" i="2"/>
  <c r="M409" i="2"/>
  <c r="N408" i="2"/>
  <c r="M408" i="2"/>
  <c r="N407" i="2"/>
  <c r="M407" i="2"/>
  <c r="N406" i="2"/>
  <c r="M406" i="2"/>
  <c r="N405" i="2"/>
  <c r="M405" i="2"/>
  <c r="N404" i="2"/>
  <c r="M404" i="2"/>
  <c r="N403" i="2"/>
  <c r="M403" i="2"/>
  <c r="N402" i="2"/>
  <c r="M402" i="2"/>
  <c r="N401" i="2"/>
  <c r="M401" i="2"/>
  <c r="N400" i="2"/>
  <c r="M400" i="2"/>
  <c r="N399" i="2"/>
  <c r="M399" i="2"/>
  <c r="N398" i="2"/>
  <c r="M398" i="2"/>
  <c r="N397" i="2"/>
  <c r="M397" i="2"/>
  <c r="N396" i="2"/>
  <c r="M396" i="2"/>
  <c r="N395" i="2"/>
  <c r="M395" i="2"/>
  <c r="N394" i="2"/>
  <c r="M394" i="2"/>
  <c r="N393" i="2"/>
  <c r="M393" i="2"/>
  <c r="N392" i="2"/>
  <c r="M392" i="2"/>
  <c r="N391" i="2"/>
  <c r="M391" i="2"/>
  <c r="N390" i="2"/>
  <c r="M390" i="2"/>
  <c r="N389" i="2"/>
  <c r="M389" i="2"/>
  <c r="N388" i="2"/>
  <c r="M388" i="2"/>
  <c r="N387" i="2"/>
  <c r="M387" i="2"/>
  <c r="N386" i="2"/>
  <c r="M386" i="2"/>
  <c r="N385" i="2"/>
  <c r="M385" i="2"/>
  <c r="N384" i="2"/>
  <c r="M384" i="2"/>
  <c r="N383" i="2"/>
  <c r="M383" i="2"/>
  <c r="N382" i="2"/>
  <c r="M382" i="2"/>
  <c r="N381" i="2"/>
  <c r="M381" i="2"/>
  <c r="N380" i="2"/>
  <c r="M380" i="2"/>
  <c r="N379" i="2"/>
  <c r="M379" i="2"/>
  <c r="N378" i="2"/>
  <c r="M378" i="2"/>
  <c r="N377" i="2"/>
  <c r="M377" i="2"/>
  <c r="N376" i="2"/>
  <c r="M376" i="2"/>
  <c r="N375" i="2"/>
  <c r="M375" i="2"/>
  <c r="N374" i="2"/>
  <c r="M374" i="2"/>
  <c r="N373" i="2"/>
  <c r="M373" i="2"/>
  <c r="N372" i="2"/>
  <c r="M372" i="2"/>
  <c r="N371" i="2"/>
  <c r="M371" i="2"/>
  <c r="N370" i="2"/>
  <c r="M370" i="2"/>
  <c r="N369" i="2"/>
  <c r="M369" i="2"/>
  <c r="N368" i="2"/>
  <c r="M368" i="2"/>
  <c r="N367" i="2"/>
  <c r="M367" i="2"/>
  <c r="N366" i="2"/>
  <c r="M366" i="2"/>
  <c r="N365" i="2"/>
  <c r="M365" i="2"/>
  <c r="N364" i="2"/>
  <c r="M364" i="2"/>
  <c r="N363" i="2"/>
  <c r="M363" i="2"/>
  <c r="N362" i="2"/>
  <c r="M362" i="2"/>
  <c r="N361" i="2"/>
  <c r="M361" i="2"/>
  <c r="N360" i="2"/>
  <c r="M360" i="2"/>
  <c r="N359" i="2"/>
  <c r="M359" i="2"/>
  <c r="N358" i="2"/>
  <c r="M358" i="2"/>
  <c r="N357" i="2"/>
  <c r="M357" i="2"/>
  <c r="N356" i="2"/>
  <c r="M356" i="2"/>
  <c r="N355" i="2"/>
  <c r="M355" i="2"/>
  <c r="N354" i="2"/>
  <c r="M354" i="2"/>
  <c r="N353" i="2"/>
  <c r="M353" i="2"/>
  <c r="N352" i="2"/>
  <c r="M352" i="2"/>
  <c r="N351" i="2"/>
  <c r="M351" i="2"/>
  <c r="N350" i="2"/>
  <c r="M350" i="2"/>
  <c r="N349" i="2"/>
  <c r="M349" i="2"/>
  <c r="N348" i="2"/>
  <c r="M348" i="2"/>
  <c r="N347" i="2"/>
  <c r="M347" i="2"/>
  <c r="N346" i="2"/>
  <c r="M346" i="2"/>
  <c r="N345" i="2"/>
  <c r="M345" i="2"/>
  <c r="N344" i="2"/>
  <c r="M344" i="2"/>
  <c r="N343" i="2"/>
  <c r="M343" i="2"/>
  <c r="N342" i="2"/>
  <c r="M342" i="2"/>
  <c r="N341" i="2"/>
  <c r="M341" i="2"/>
  <c r="N340" i="2"/>
  <c r="M340" i="2"/>
  <c r="N339" i="2"/>
  <c r="M339" i="2"/>
  <c r="N338" i="2"/>
  <c r="M338" i="2"/>
  <c r="N337" i="2"/>
  <c r="M337" i="2"/>
  <c r="N336" i="2"/>
  <c r="M336" i="2"/>
  <c r="N335" i="2"/>
  <c r="M335" i="2"/>
  <c r="N334" i="2"/>
  <c r="M334" i="2"/>
  <c r="N333" i="2"/>
  <c r="M333" i="2"/>
  <c r="N332" i="2"/>
  <c r="M332" i="2"/>
  <c r="N331" i="2"/>
  <c r="M331" i="2"/>
  <c r="N330" i="2"/>
  <c r="M330" i="2"/>
  <c r="N329" i="2"/>
  <c r="M329" i="2"/>
  <c r="N328" i="2"/>
  <c r="M328" i="2"/>
  <c r="N327" i="2"/>
  <c r="M327" i="2"/>
  <c r="N326" i="2"/>
  <c r="M326" i="2"/>
  <c r="N325" i="2"/>
  <c r="M325" i="2"/>
  <c r="N324" i="2"/>
  <c r="M324" i="2"/>
  <c r="N323" i="2"/>
  <c r="M323" i="2"/>
  <c r="N322" i="2"/>
  <c r="M322" i="2"/>
  <c r="N321" i="2"/>
  <c r="M321" i="2"/>
  <c r="N320" i="2"/>
  <c r="M320" i="2"/>
  <c r="N319" i="2"/>
  <c r="M319" i="2"/>
  <c r="N318" i="2"/>
  <c r="M318" i="2"/>
  <c r="N317" i="2"/>
  <c r="M317" i="2"/>
  <c r="N316" i="2"/>
  <c r="M316" i="2"/>
  <c r="N315" i="2"/>
  <c r="M315" i="2"/>
  <c r="N314" i="2"/>
  <c r="M314" i="2"/>
  <c r="N313" i="2"/>
  <c r="M313" i="2"/>
  <c r="N312" i="2"/>
  <c r="M312" i="2"/>
  <c r="N311" i="2"/>
  <c r="M311" i="2"/>
  <c r="N310" i="2"/>
  <c r="M310" i="2"/>
  <c r="N309" i="2"/>
  <c r="M309" i="2"/>
  <c r="N308" i="2"/>
  <c r="M308" i="2"/>
  <c r="N307" i="2"/>
  <c r="M307" i="2"/>
  <c r="N306" i="2"/>
  <c r="M306" i="2"/>
  <c r="N305" i="2"/>
  <c r="M305" i="2"/>
  <c r="N304" i="2"/>
  <c r="M304" i="2"/>
  <c r="N303" i="2"/>
  <c r="M303" i="2"/>
  <c r="N302" i="2"/>
  <c r="M302" i="2"/>
  <c r="N301" i="2"/>
  <c r="M301" i="2"/>
  <c r="N300" i="2"/>
  <c r="M300" i="2"/>
  <c r="N299" i="2"/>
  <c r="M299" i="2"/>
  <c r="N298" i="2"/>
  <c r="M298" i="2"/>
  <c r="N297" i="2"/>
  <c r="M297" i="2"/>
  <c r="N296" i="2"/>
  <c r="M296" i="2"/>
  <c r="N295" i="2"/>
  <c r="M295" i="2"/>
  <c r="N294" i="2"/>
  <c r="M294" i="2"/>
  <c r="N293" i="2"/>
  <c r="M293" i="2"/>
  <c r="N292" i="2"/>
  <c r="M292" i="2"/>
  <c r="N291" i="2"/>
  <c r="M291" i="2"/>
  <c r="N290" i="2"/>
  <c r="M290" i="2"/>
  <c r="N289" i="2"/>
  <c r="M289" i="2"/>
  <c r="N288" i="2"/>
  <c r="M288" i="2"/>
  <c r="N287" i="2"/>
  <c r="M287" i="2"/>
  <c r="N286" i="2"/>
  <c r="M286" i="2"/>
  <c r="N285" i="2"/>
  <c r="M285" i="2"/>
  <c r="N284" i="2"/>
  <c r="M284" i="2"/>
  <c r="N283" i="2"/>
  <c r="M283" i="2"/>
  <c r="N282" i="2"/>
  <c r="M282" i="2"/>
  <c r="N281" i="2"/>
  <c r="M281" i="2"/>
  <c r="N280" i="2"/>
  <c r="M280" i="2"/>
  <c r="N279" i="2"/>
  <c r="M279" i="2"/>
  <c r="N278" i="2"/>
  <c r="M278" i="2"/>
  <c r="N277" i="2"/>
  <c r="M277" i="2"/>
  <c r="N276" i="2"/>
  <c r="M276" i="2"/>
  <c r="N275" i="2"/>
  <c r="M275" i="2"/>
  <c r="N274" i="2"/>
  <c r="M274" i="2"/>
  <c r="N273" i="2"/>
  <c r="M273" i="2"/>
  <c r="N272" i="2"/>
  <c r="M272" i="2"/>
  <c r="N271" i="2"/>
  <c r="M271" i="2"/>
  <c r="N270" i="2"/>
  <c r="M270" i="2"/>
  <c r="N269" i="2"/>
  <c r="M269" i="2"/>
  <c r="N268" i="2"/>
  <c r="M268" i="2"/>
  <c r="N267" i="2"/>
  <c r="M267" i="2"/>
  <c r="N266" i="2"/>
  <c r="M266" i="2"/>
  <c r="N265" i="2"/>
  <c r="M265" i="2"/>
  <c r="N264" i="2"/>
  <c r="M264" i="2"/>
  <c r="N263" i="2"/>
  <c r="M263" i="2"/>
  <c r="N262" i="2"/>
  <c r="M262" i="2"/>
  <c r="N261" i="2"/>
  <c r="M261" i="2"/>
  <c r="N260" i="2"/>
  <c r="M260" i="2"/>
  <c r="N259" i="2"/>
  <c r="M259" i="2"/>
  <c r="N258" i="2"/>
  <c r="M258" i="2"/>
  <c r="N257" i="2"/>
  <c r="M257" i="2"/>
  <c r="N256" i="2"/>
  <c r="M256" i="2"/>
  <c r="N255" i="2"/>
  <c r="M255" i="2"/>
  <c r="N254" i="2"/>
  <c r="M254" i="2"/>
  <c r="N253" i="2"/>
  <c r="M253" i="2"/>
  <c r="N252" i="2"/>
  <c r="M252" i="2"/>
  <c r="N251" i="2"/>
  <c r="M251" i="2"/>
  <c r="N250" i="2"/>
  <c r="M250" i="2"/>
  <c r="N249" i="2"/>
  <c r="M249" i="2"/>
  <c r="N248" i="2"/>
  <c r="M248" i="2"/>
  <c r="N247" i="2"/>
  <c r="M247" i="2"/>
  <c r="N246" i="2"/>
  <c r="M246" i="2"/>
  <c r="N245" i="2"/>
  <c r="M245" i="2"/>
  <c r="N244" i="2"/>
  <c r="M244" i="2"/>
  <c r="N243" i="2"/>
  <c r="M243" i="2"/>
  <c r="N242" i="2"/>
  <c r="M242" i="2"/>
  <c r="N241" i="2"/>
  <c r="M241" i="2"/>
  <c r="N240" i="2"/>
  <c r="M240" i="2"/>
  <c r="N239" i="2"/>
  <c r="M239" i="2"/>
  <c r="N238" i="2"/>
  <c r="M238" i="2"/>
  <c r="N237" i="2"/>
  <c r="M237" i="2"/>
  <c r="N236" i="2"/>
  <c r="M236" i="2"/>
  <c r="N235" i="2"/>
  <c r="M235" i="2"/>
  <c r="N234" i="2"/>
  <c r="M234" i="2"/>
  <c r="N233" i="2"/>
  <c r="M233" i="2"/>
  <c r="N232" i="2"/>
  <c r="M232" i="2"/>
  <c r="N231" i="2"/>
  <c r="M231" i="2"/>
  <c r="N230" i="2"/>
  <c r="M230" i="2"/>
  <c r="N229" i="2"/>
  <c r="M229" i="2"/>
  <c r="N228" i="2"/>
  <c r="M228" i="2"/>
  <c r="N227" i="2"/>
  <c r="M227" i="2"/>
  <c r="N226" i="2"/>
  <c r="M226" i="2"/>
  <c r="N225" i="2"/>
  <c r="M225" i="2"/>
  <c r="N224" i="2"/>
  <c r="M224" i="2"/>
  <c r="N223" i="2"/>
  <c r="M223" i="2"/>
  <c r="N222" i="2"/>
  <c r="M222" i="2"/>
  <c r="N221" i="2"/>
  <c r="M221" i="2"/>
  <c r="N220" i="2"/>
  <c r="M220" i="2"/>
  <c r="N219" i="2"/>
  <c r="M219" i="2"/>
  <c r="N218" i="2"/>
  <c r="M218" i="2"/>
  <c r="N217" i="2"/>
  <c r="M217" i="2"/>
  <c r="N216" i="2"/>
  <c r="M216" i="2"/>
  <c r="N215" i="2"/>
  <c r="M215" i="2"/>
  <c r="N214" i="2"/>
  <c r="M214" i="2"/>
  <c r="N213" i="2"/>
  <c r="M213" i="2"/>
  <c r="N212" i="2"/>
  <c r="M212" i="2"/>
  <c r="N211" i="2"/>
  <c r="M211" i="2"/>
  <c r="N210" i="2"/>
  <c r="M210" i="2"/>
  <c r="N209" i="2"/>
  <c r="M209" i="2"/>
  <c r="N208" i="2"/>
  <c r="M208" i="2"/>
  <c r="N207" i="2"/>
  <c r="M207" i="2"/>
  <c r="N206" i="2"/>
  <c r="M206" i="2"/>
  <c r="N205" i="2"/>
  <c r="M205" i="2"/>
  <c r="N204" i="2"/>
  <c r="M204" i="2"/>
  <c r="N203" i="2"/>
  <c r="M203" i="2"/>
  <c r="N202" i="2"/>
  <c r="M202" i="2"/>
  <c r="N201" i="2"/>
  <c r="M201" i="2"/>
  <c r="N200" i="2"/>
  <c r="M200" i="2"/>
  <c r="N199" i="2"/>
  <c r="M199" i="2"/>
  <c r="N198" i="2"/>
  <c r="M198" i="2"/>
  <c r="N197" i="2"/>
  <c r="M197" i="2"/>
  <c r="N196" i="2"/>
  <c r="M196" i="2"/>
  <c r="N195" i="2"/>
  <c r="M195" i="2"/>
  <c r="N194" i="2"/>
  <c r="M194" i="2"/>
  <c r="N193" i="2"/>
  <c r="M193" i="2"/>
  <c r="N192" i="2"/>
  <c r="M192" i="2"/>
  <c r="N191" i="2"/>
  <c r="M191" i="2"/>
  <c r="N190" i="2"/>
  <c r="M190" i="2"/>
  <c r="N189" i="2"/>
  <c r="M189" i="2"/>
  <c r="N188" i="2"/>
  <c r="M188" i="2"/>
  <c r="N187" i="2"/>
  <c r="M187" i="2"/>
  <c r="N186" i="2"/>
  <c r="M186" i="2"/>
  <c r="N185" i="2"/>
  <c r="M185" i="2"/>
  <c r="N184" i="2"/>
  <c r="M184" i="2"/>
  <c r="N183" i="2"/>
  <c r="M183" i="2"/>
  <c r="N182" i="2"/>
  <c r="M182" i="2"/>
  <c r="N181" i="2"/>
  <c r="M181" i="2"/>
  <c r="N180" i="2"/>
  <c r="M180" i="2"/>
  <c r="N179" i="2"/>
  <c r="M179" i="2"/>
  <c r="N178" i="2"/>
  <c r="M178" i="2"/>
  <c r="N177" i="2"/>
  <c r="M177" i="2"/>
  <c r="N176" i="2"/>
  <c r="M176" i="2"/>
  <c r="N175" i="2"/>
  <c r="M175" i="2"/>
  <c r="N174" i="2"/>
  <c r="M174" i="2"/>
  <c r="N173" i="2"/>
  <c r="M173" i="2"/>
  <c r="N172" i="2"/>
  <c r="M172" i="2"/>
  <c r="N171" i="2"/>
  <c r="M171" i="2"/>
  <c r="N170" i="2"/>
  <c r="M170" i="2"/>
  <c r="N169" i="2"/>
  <c r="M169" i="2"/>
  <c r="N168" i="2"/>
  <c r="M168" i="2"/>
  <c r="N167" i="2"/>
  <c r="M167" i="2"/>
  <c r="N166" i="2"/>
  <c r="M166" i="2"/>
  <c r="N165" i="2"/>
  <c r="M165" i="2"/>
  <c r="N164" i="2"/>
  <c r="M164" i="2"/>
  <c r="N163" i="2"/>
  <c r="M163" i="2"/>
  <c r="N162" i="2"/>
  <c r="M162" i="2"/>
  <c r="N161" i="2"/>
  <c r="M161" i="2"/>
  <c r="N160" i="2"/>
  <c r="M160" i="2"/>
  <c r="N159" i="2"/>
  <c r="M159" i="2"/>
  <c r="N158" i="2"/>
  <c r="M158" i="2"/>
  <c r="N157" i="2"/>
  <c r="M157" i="2"/>
  <c r="N156" i="2"/>
  <c r="M156" i="2"/>
  <c r="N155" i="2"/>
  <c r="M155" i="2"/>
  <c r="N154" i="2"/>
  <c r="M154" i="2"/>
  <c r="N153" i="2"/>
  <c r="M153" i="2"/>
  <c r="N152" i="2"/>
  <c r="M152" i="2"/>
  <c r="N151" i="2"/>
  <c r="M151" i="2"/>
  <c r="N150" i="2"/>
  <c r="M150" i="2"/>
  <c r="N149" i="2"/>
  <c r="M149" i="2"/>
  <c r="N148" i="2"/>
  <c r="M148" i="2"/>
  <c r="N147" i="2"/>
  <c r="M147" i="2"/>
  <c r="N146" i="2"/>
  <c r="M146" i="2"/>
  <c r="N145" i="2"/>
  <c r="M145" i="2"/>
  <c r="N144" i="2"/>
  <c r="M144" i="2"/>
  <c r="N143" i="2"/>
  <c r="M143" i="2"/>
  <c r="N142" i="2"/>
  <c r="M142" i="2"/>
  <c r="N141" i="2"/>
  <c r="M141" i="2"/>
  <c r="N140" i="2"/>
  <c r="M140" i="2"/>
  <c r="N139" i="2"/>
  <c r="M139" i="2"/>
  <c r="N138" i="2"/>
  <c r="M138" i="2"/>
  <c r="N137" i="2"/>
  <c r="M137" i="2"/>
  <c r="N136" i="2"/>
  <c r="M136" i="2"/>
  <c r="N135" i="2"/>
  <c r="M135" i="2"/>
  <c r="N134" i="2"/>
  <c r="M134" i="2"/>
  <c r="N133" i="2"/>
  <c r="M133" i="2"/>
  <c r="N132" i="2"/>
  <c r="M132" i="2"/>
  <c r="N131" i="2"/>
  <c r="M131" i="2"/>
  <c r="N130" i="2"/>
  <c r="M130" i="2"/>
  <c r="N129" i="2"/>
  <c r="M129" i="2"/>
  <c r="N128" i="2"/>
  <c r="M128" i="2"/>
  <c r="N127" i="2"/>
  <c r="M127" i="2"/>
  <c r="N126" i="2"/>
  <c r="M126" i="2"/>
  <c r="N125" i="2"/>
  <c r="M125" i="2"/>
  <c r="N124" i="2"/>
  <c r="M124" i="2"/>
  <c r="N123" i="2"/>
  <c r="M123" i="2"/>
  <c r="N122" i="2"/>
  <c r="M122" i="2"/>
  <c r="N121" i="2"/>
  <c r="M121" i="2"/>
  <c r="N120" i="2"/>
  <c r="M120" i="2"/>
  <c r="N119" i="2"/>
  <c r="M119" i="2"/>
  <c r="N118" i="2"/>
  <c r="M118" i="2"/>
  <c r="N117" i="2"/>
  <c r="M117" i="2"/>
  <c r="N116" i="2"/>
  <c r="M116" i="2"/>
  <c r="N115" i="2"/>
  <c r="M115" i="2"/>
  <c r="N114" i="2"/>
  <c r="M114" i="2"/>
  <c r="N113" i="2"/>
  <c r="M113" i="2"/>
  <c r="N112" i="2"/>
  <c r="M112" i="2"/>
  <c r="N111" i="2"/>
  <c r="M111" i="2"/>
  <c r="N110" i="2"/>
  <c r="M110" i="2"/>
  <c r="N109" i="2"/>
  <c r="M109" i="2"/>
  <c r="N108" i="2"/>
  <c r="M108" i="2"/>
  <c r="N107" i="2"/>
  <c r="M107" i="2"/>
  <c r="N106" i="2"/>
  <c r="M106" i="2"/>
  <c r="N105" i="2"/>
  <c r="M105" i="2"/>
  <c r="N104" i="2"/>
  <c r="M104" i="2"/>
  <c r="N103" i="2"/>
  <c r="M103" i="2"/>
  <c r="N102" i="2"/>
  <c r="M102" i="2"/>
  <c r="N101" i="2"/>
  <c r="M101" i="2"/>
  <c r="N100" i="2"/>
  <c r="M100" i="2"/>
  <c r="N99" i="2"/>
  <c r="M99" i="2"/>
  <c r="N98" i="2"/>
  <c r="M98" i="2"/>
  <c r="N97" i="2"/>
  <c r="M97" i="2"/>
  <c r="N96" i="2"/>
  <c r="M96" i="2"/>
  <c r="N95" i="2"/>
  <c r="M95" i="2"/>
  <c r="N94" i="2"/>
  <c r="M94" i="2"/>
  <c r="N93" i="2"/>
  <c r="M93" i="2"/>
  <c r="N92" i="2"/>
  <c r="M92" i="2"/>
  <c r="N91" i="2"/>
  <c r="M91" i="2"/>
  <c r="N90" i="2"/>
  <c r="M90" i="2"/>
  <c r="N89" i="2"/>
  <c r="M89" i="2"/>
  <c r="N88" i="2"/>
  <c r="M88" i="2"/>
  <c r="N87" i="2"/>
  <c r="M87" i="2"/>
  <c r="N86" i="2"/>
  <c r="M86" i="2"/>
  <c r="N85" i="2"/>
  <c r="M85" i="2"/>
  <c r="N84" i="2"/>
  <c r="M84" i="2"/>
  <c r="N83" i="2"/>
  <c r="M83" i="2"/>
  <c r="N82" i="2"/>
  <c r="M82" i="2"/>
  <c r="N81" i="2"/>
  <c r="M81" i="2"/>
  <c r="N80" i="2"/>
  <c r="M80" i="2"/>
  <c r="N79" i="2"/>
  <c r="M79" i="2"/>
  <c r="N78" i="2"/>
  <c r="M78" i="2"/>
  <c r="N77" i="2"/>
  <c r="M77" i="2"/>
  <c r="N76" i="2"/>
  <c r="M76" i="2"/>
  <c r="N75" i="2"/>
  <c r="M75" i="2"/>
  <c r="N74" i="2"/>
  <c r="M74" i="2"/>
  <c r="N73" i="2"/>
  <c r="M73" i="2"/>
  <c r="N72" i="2"/>
  <c r="M72" i="2"/>
  <c r="N71" i="2"/>
  <c r="M71" i="2"/>
  <c r="N70" i="2"/>
  <c r="M70" i="2"/>
  <c r="N69" i="2"/>
  <c r="M69" i="2"/>
  <c r="N68" i="2"/>
  <c r="M68" i="2"/>
  <c r="N67" i="2"/>
  <c r="M67" i="2"/>
  <c r="N66" i="2"/>
  <c r="M66" i="2"/>
  <c r="N65" i="2"/>
  <c r="M65" i="2"/>
  <c r="N64" i="2"/>
  <c r="M64" i="2"/>
  <c r="N63" i="2"/>
  <c r="M63" i="2"/>
  <c r="N62" i="2"/>
  <c r="M62" i="2"/>
  <c r="N61" i="2"/>
  <c r="M61" i="2"/>
  <c r="N60" i="2"/>
  <c r="M60" i="2"/>
  <c r="N59" i="2"/>
  <c r="M59" i="2"/>
  <c r="N58" i="2"/>
  <c r="M58" i="2"/>
  <c r="N57" i="2"/>
  <c r="M57" i="2"/>
  <c r="N56" i="2"/>
  <c r="M56" i="2"/>
  <c r="N55" i="2"/>
  <c r="M55" i="2"/>
  <c r="N54" i="2"/>
  <c r="M54" i="2"/>
  <c r="N53" i="2"/>
  <c r="M53" i="2"/>
  <c r="N52" i="2"/>
  <c r="M52" i="2"/>
  <c r="N51" i="2"/>
  <c r="M51" i="2"/>
  <c r="N50" i="2"/>
  <c r="M50" i="2"/>
  <c r="N49" i="2"/>
  <c r="M49" i="2"/>
  <c r="N48" i="2"/>
  <c r="M48" i="2"/>
  <c r="N47" i="2"/>
  <c r="M47" i="2"/>
  <c r="N46" i="2"/>
  <c r="M46" i="2"/>
  <c r="N45" i="2"/>
  <c r="M45" i="2"/>
  <c r="N44" i="2"/>
  <c r="M44" i="2"/>
  <c r="N43" i="2"/>
  <c r="M43" i="2"/>
  <c r="N42" i="2"/>
  <c r="M42" i="2"/>
  <c r="N41" i="2"/>
  <c r="M41" i="2"/>
  <c r="N40" i="2"/>
  <c r="M40" i="2"/>
  <c r="N39" i="2"/>
  <c r="M39" i="2"/>
  <c r="N38" i="2"/>
  <c r="M38" i="2"/>
  <c r="N37" i="2"/>
  <c r="M37" i="2"/>
  <c r="N36" i="2"/>
  <c r="M36" i="2"/>
  <c r="N35" i="2"/>
  <c r="M35" i="2"/>
  <c r="N34" i="2"/>
  <c r="M34" i="2"/>
  <c r="N33" i="2"/>
  <c r="M33" i="2"/>
  <c r="N32" i="2"/>
  <c r="M32" i="2"/>
  <c r="N31" i="2"/>
  <c r="M31" i="2"/>
  <c r="N30" i="2"/>
  <c r="M30" i="2"/>
  <c r="N29" i="2"/>
  <c r="M29" i="2"/>
  <c r="N28" i="2"/>
  <c r="M28" i="2"/>
  <c r="N27" i="2"/>
  <c r="M27" i="2"/>
  <c r="N26" i="2"/>
  <c r="M26" i="2"/>
  <c r="N25" i="2"/>
  <c r="M25" i="2"/>
  <c r="N24" i="2"/>
  <c r="M24" i="2"/>
  <c r="N23" i="2"/>
  <c r="M23" i="2"/>
  <c r="N22" i="2"/>
  <c r="M22" i="2"/>
  <c r="N21" i="2"/>
  <c r="M21" i="2"/>
  <c r="N20" i="2"/>
  <c r="M20" i="2"/>
  <c r="N19" i="2"/>
  <c r="M19" i="2"/>
  <c r="N18" i="2"/>
  <c r="M18" i="2"/>
  <c r="N17" i="2"/>
  <c r="M17" i="2"/>
  <c r="N16" i="2"/>
  <c r="M16" i="2"/>
  <c r="N15" i="2"/>
  <c r="M15" i="2"/>
  <c r="N14" i="2"/>
  <c r="M14" i="2"/>
  <c r="N13" i="2"/>
  <c r="M13" i="2"/>
  <c r="N12" i="2"/>
  <c r="M12" i="2"/>
  <c r="N11" i="2"/>
  <c r="M11" i="2"/>
  <c r="N10" i="2"/>
  <c r="M10" i="2"/>
  <c r="N9" i="2"/>
  <c r="M9" i="2"/>
  <c r="N8" i="2"/>
  <c r="M8" i="2"/>
  <c r="N7" i="2"/>
  <c r="M7" i="2"/>
  <c r="N6" i="2"/>
  <c r="M6" i="2"/>
  <c r="N5" i="2"/>
  <c r="M5" i="2"/>
  <c r="N4" i="2"/>
  <c r="M4" i="2"/>
  <c r="N3" i="2"/>
  <c r="M3" i="2"/>
  <c r="N2" i="2"/>
  <c r="M2" i="2"/>
</calcChain>
</file>

<file path=xl/sharedStrings.xml><?xml version="1.0" encoding="utf-8"?>
<sst xmlns="http://schemas.openxmlformats.org/spreadsheetml/2006/main" count="7755" uniqueCount="2136">
  <si>
    <t>Task 1: Benchmark Process-Record Audit Coding Table (Coder A01)</t>
  </si>
  <si>
    <t>1. First record the materials and versions actually consulted for each benchmark in the "Benchmark register" sheet, then code row by row in the "Coding" sheet.</t>
  </si>
  <si>
    <t>2. Each row of the "Coding" sheet is one field of one benchmark, 74 × 10 = 740 rows in total. Fill in the yellow cells and do not change the grey cells.</t>
  </si>
  <si>
    <t>3. Each row has two stages. Stage 1 judges applicability. Only rows judged "Applicable" proceed to Stage 2, which judges record status D, R or U.</t>
  </si>
  <si>
    <t>4. When selecting "Not applicable", also select the boundary strength. When selecting R, also select the recovery stability. These two columns are used for robustness checks and must be filled in.</t>
  </si>
  <si>
    <t>5. Fill in the evidence location for every row, stating the material and the specific location, e.g. paper §4.2, a field name under logs/ in the repository, or an example trajectory file name. When judging U or Not applicable, state which materials were checked.</t>
  </si>
  <si>
    <t>6. The "Final code" and "Completeness check" columns are generated automatically by formulas. Before submission, filter the "Completeness check" column and confirm that every row reads "Complete".</t>
  </si>
  <si>
    <t>7. Do not view any earlier coding table, consensus matrix or statistical table in the manuscript, and do not discuss specific benchmarks with the other coder.</t>
  </si>
  <si>
    <t>8. Field definitions and value rules are given in the table below; the full description is in Section 4 of the "ICM manuscript re-annotation task instructions".</t>
  </si>
  <si>
    <t>Field</t>
  </si>
  <si>
    <t>Applicability condition</t>
  </si>
  <si>
    <t>Observational basis for D or R</t>
  </si>
  <si>
    <t>F01 Source identifier</t>
  </si>
  <si>
    <t>An attributable information source or action source exists</t>
  </si>
  <si>
    <t>Explicit source identifiers such as URLs, tools, repositories, agents or source IDs, or a uniquely recoverable binding to the source</t>
  </si>
  <si>
    <t>F02 Temporal position</t>
  </si>
  <si>
    <t>The task process contains orderable events or operations</t>
  </si>
  <si>
    <t>Explicit timestamps, turns, steps or action indices, or a unique order recoverable from execution records</t>
  </si>
  <si>
    <t>F03 State version</t>
  </si>
  <si>
    <t>The same object may appear in two or more states or versions</t>
  </si>
  <si>
    <t>Explicit version numbers, snapshots or state identifiers, or a uniquely recoverable relation between successive versions</t>
  </si>
  <si>
    <t>F04 Dependence relations</t>
  </si>
  <si>
    <t>Upstream results may be used by downstream operations</t>
  </si>
  <si>
    <t>Explicit call chains, workflow edges, data-flow relations, dependence fields, or a unique dependence recoverable from the execution structure</t>
  </si>
  <si>
    <t>F05 Parameter provenance</t>
  </si>
  <si>
    <t>Structured arguments or action values whose upstream source is analytically meaningful exist</t>
  </si>
  <si>
    <t>Explicit records linking arguments to their source or confirmation status, or a unique binding to earlier records</t>
  </si>
  <si>
    <t>F06 Propagable uncertainty representation</t>
  </si>
  <si>
    <t>The task process contains uncertainty, ambiguity or confidence information that may need to persist across operations</t>
  </si>
  <si>
    <t>A structured uncertainty representation usable by later operations, or an equivalent representation uniquely recoverable from the record</t>
  </si>
  <si>
    <t>F07 Conflict representation</t>
  </si>
  <si>
    <t>The task process contains competing or mutually incompatible information or hypotheses</t>
  </si>
  <si>
    <t>Explicit competing candidates or conflict relations, or a competition relation uniquely recoverable from the record</t>
  </si>
  <si>
    <t>F08 Responsibility or commitment status</t>
  </si>
  <si>
    <t>The task process contains multi-agent responsibility, commitment, ownership or handover states</t>
  </si>
  <si>
    <t>Explicit state records, or a unique trajectory relation from which the relevant state can be recovered</t>
  </si>
  <si>
    <t>F09 Validity-change event</t>
  </si>
  <si>
    <t>The standard task process contains high-confidence opportunities for persistent updating, including feedback correction, belief or knowledge updating, intent or parameter revision, forgetting, or self-correction</t>
  </si>
  <si>
    <t>Entry identity, the transition event, and the validity states before and after the transition are explicit or jointly recoverable in the default record</t>
  </si>
  <si>
    <t>F10 Version lineage and rollback</t>
  </si>
  <si>
    <t>Persistent state revisions exist, and history recovery or rollback is meaningful at the task level</t>
  </si>
  <si>
    <t>Explicit version lineage, undo points or rollback records, or a uniquely recoverable relation between successive versions</t>
  </si>
  <si>
    <t>Value</t>
  </si>
  <si>
    <t>Meaning</t>
  </si>
  <si>
    <t>D Directly available</t>
  </si>
  <si>
    <t>The required information is explicitly present in the public default record</t>
  </si>
  <si>
    <t>R Uniquely recoverable</t>
  </si>
  <si>
    <t>The required information is not recorded as a separate field but can be uniquely recovered from the public default record through a deterministic mapping or binding. Recovery achieved only by semantic inference about task content does not count as R</t>
  </si>
  <si>
    <t>U Unavailable</t>
  </si>
  <si>
    <t>The process object exists, but the required information can be neither obtained directly nor uniquely recovered</t>
  </si>
  <si>
    <t>Not applicable (final code NA)</t>
  </si>
  <si>
    <t>The corresponding process object is not instantiated in the standard task process of the benchmark</t>
  </si>
  <si>
    <t>Boundary strength: Clearly not applicable</t>
  </si>
  <si>
    <t>Public materials clearly show that the standard task process does not contain the process object</t>
  </si>
  <si>
    <t>Boundary strength: Weak boundary</t>
  </si>
  <si>
    <t>Materials are insufficient to confirm that the process object exists, but it may exist under a broader reading</t>
  </si>
  <si>
    <t>Recovery stability: Deterministic recovery</t>
  </si>
  <si>
    <t>Unique recovery follows from the record structure alone, without any additional convention</t>
  </si>
  <si>
    <t>Recovery stability: Requires additional convention</t>
  </si>
  <si>
    <t>Recovery depends on a reasonable convention not stated explicitly in the materials, e.g. a default order or naming convention</t>
  </si>
  <si>
    <t>Row no.</t>
  </si>
  <si>
    <t>Benchmark ID</t>
  </si>
  <si>
    <t>Benchmark name</t>
  </si>
  <si>
    <t>Field ID</t>
  </si>
  <si>
    <t>① Applicability</t>
  </si>
  <si>
    <t>② Boundary strength (if not applicable)</t>
  </si>
  <si>
    <t>③ Record status</t>
  </si>
  <si>
    <t>④ Recovery stability (if R)</t>
  </si>
  <si>
    <t>⑤ Evidence location</t>
  </si>
  <si>
    <t>⑥ Rationale</t>
  </si>
  <si>
    <t>⑦ Confidence</t>
  </si>
  <si>
    <t>Final code (auto)</t>
  </si>
  <si>
    <t>Completeness check (auto)</t>
  </si>
  <si>
    <t>1</t>
  </si>
  <si>
    <t>MINT</t>
  </si>
  <si>
    <t>F01</t>
  </si>
  <si>
    <t>Source identifier</t>
  </si>
  <si>
    <t>Applicable</t>
  </si>
  <si>
    <t>D</t>
  </si>
  <si>
    <t>MINT paper, Appendix E.1 interaction example; Table A.8 tool list</t>
  </si>
  <si>
    <t>Transcripts distinguish sources by "=== user ===/=== assistant ===", "Observation:" and "Expert feedback:"; tool names appear explicitly in actions</t>
  </si>
  <si>
    <t>Medium</t>
  </si>
  <si>
    <t>F02</t>
  </si>
  <si>
    <t>Temporal position</t>
  </si>
  <si>
    <t>MINT paper §2.1, Fig. 1</t>
  </si>
  <si>
    <t>Each turn carries a remaining-steps prompt, so the turn can be read directly</t>
  </si>
  <si>
    <t>F03</t>
  </si>
  <si>
    <t>State version</t>
  </si>
  <si>
    <t>R</t>
  </si>
  <si>
    <t>Deterministic recovery</t>
  </si>
  <si>
    <t>MINT paper §2.1 (lazy user, two submissions), Appendix E.1</t>
  </si>
  <si>
    <t>The answer object has multiple submitted versions without version numbers; they can be uniquely ordered by submission order</t>
  </si>
  <si>
    <t>F04</t>
  </si>
  <si>
    <t>Dependence relations</t>
  </si>
  <si>
    <t>U</t>
  </si>
  <si>
    <t>MINT paper §2.1, Appendix E.1</t>
  </si>
  <si>
    <t>Later code uses the execution results of earlier turns; the record has no call-chain or data-flow field, so the dependence can only be inferred semantically</t>
  </si>
  <si>
    <t>F05</t>
  </si>
  <si>
    <t>Parameter provenance</t>
  </si>
  <si>
    <t>MINT paper Table A.8, Appendix E.1</t>
  </si>
  <si>
    <t>Tool arguments are generated in model code; argument sources are not recorded</t>
  </si>
  <si>
    <t>F06</t>
  </si>
  <si>
    <t>Propagable uncertainty representation</t>
  </si>
  <si>
    <t>Not applicable</t>
  </si>
  <si>
    <t>Weak boundary</t>
  </si>
  <si>
    <t>Checked MINT paper §2–§3, Appendices C, E</t>
  </si>
  <si>
    <t>Tasks are reasoning and coding problems with definite answers; no uncertainty object that must persist across operations was found</t>
  </si>
  <si>
    <t>F07</t>
  </si>
  <si>
    <t>Conflict representation</t>
  </si>
  <si>
    <t>Checked MINT paper §2.1, Appendices C, E</t>
  </si>
  <si>
    <t>Feedback contradicts the original answer, but no coexisting competing hypotheses are formed</t>
  </si>
  <si>
    <t>Low</t>
  </si>
  <si>
    <t>F08</t>
  </si>
  <si>
    <t>Responsibility or commitment status</t>
  </si>
  <si>
    <t>Clearly not applicable</t>
  </si>
  <si>
    <t>Checked MINT paper §2.1, §3.4</t>
  </si>
  <si>
    <t>Single agent plus a simulated feedback provider; the feedback provider bears no task responsibility or handover</t>
  </si>
  <si>
    <t>F09</t>
  </si>
  <si>
    <t>Validity-change event</t>
  </si>
  <si>
    <t>Requires additional convention</t>
  </si>
  <si>
    <t>MINT paper §2.1, Appendix C.1.2, Appendix E.1</t>
  </si>
  <si>
    <t>Feedback correction is part of the standard process; the entry is the current answer and the transition event is the feedback turn, but the before/after versions can be recovered only by assuming that a new submission supersedes the old one</t>
  </si>
  <si>
    <t>F10</t>
  </si>
  <si>
    <t>Version lineage and rollback</t>
  </si>
  <si>
    <t>Checked the full MINT paper</t>
  </si>
  <si>
    <t>Answer revision involves no task-level history recovery or rollback; Appendix C.1.1 only mentions that feedback can prompt backtracking</t>
  </si>
  <si>
    <t>2</t>
  </si>
  <si>
    <t>PlanBench</t>
  </si>
  <si>
    <t>PlanBench paper, Appendix A.5–A.8 prompt examples</t>
  </si>
  <si>
    <t>[STATEMENT], [PLAN] and [VERIFICATION] tags distinguish the problem statement, the model plan and the validator output</t>
  </si>
  <si>
    <t>PlanBench paper §4, Appendix A.7.1</t>
  </si>
  <si>
    <t>One action per plan line; VAL output reports errors by step number, so order is uniquely determined by line order</t>
  </si>
  <si>
    <t>High</t>
  </si>
  <si>
    <t>PlanBench paper §3 (states are truth assignments to predicates), §4</t>
  </si>
  <si>
    <t>Intermediate world states are not recorded but can be deterministically derived from the initial state and PDDL action effects</t>
  </si>
  <si>
    <t>PlanBench paper §3, Appendix A.7.1</t>
  </si>
  <si>
    <t>Inter-step dependence can be derived from preconditions and effects, but a causal link may have several supporters, so a convention of taking the most recent supporting action is required</t>
  </si>
  <si>
    <t>Checked PlanBench paper §3–§4, Appendix A</t>
  </si>
  <si>
    <t>Action arguments are objects from the problem statement; their upstream source has no independent analytical significance</t>
  </si>
  <si>
    <t>Checked PlanBench paper §3–§5</t>
  </si>
  <si>
    <t>Classical deterministic planning; no need for uncertainty representation</t>
  </si>
  <si>
    <t>A plan is generated once; no competing information</t>
  </si>
  <si>
    <t>Checked the full PlanBench paper</t>
  </si>
  <si>
    <t>Single model; no multi-agent setting</t>
  </si>
  <si>
    <t>Checked PlanBench paper §5–§6</t>
  </si>
  <si>
    <t>Only the "replanning" test item involves plan revision after an unexpected state change, and it is a single prompt, so it does not constitute persistent updating in the standard process</t>
  </si>
  <si>
    <t>No persistently revised object</t>
  </si>
  <si>
    <t>3</t>
  </si>
  <si>
    <t>FlowBench</t>
  </si>
  <si>
    <t>FlowBench paper, Appendix D Listings 8 and 7</t>
  </si>
  <si>
    <t>Session entries are labeled User/Agent/Environment, and the Action field gives the tool name</t>
  </si>
  <si>
    <t>FlowBench paper §3.1, Appendix D</t>
  </si>
  <si>
    <t>Turn i is defined in the formalization; session records are ordered, with no explicit index field</t>
  </si>
  <si>
    <t>FlowBench paper §3.1, Appendix A.4</t>
  </si>
  <si>
    <t>Object states such as bookings change with calls; the record has no state identifier, and workflow nodes are not mapped to session steps</t>
  </si>
  <si>
    <t>FlowBench paper, Appendix A.4 Listing 6, Appendix D</t>
  </si>
  <si>
    <t>Workflow edges are given knowledge; session records do not mark the correspondence between steps and nodes or upstream outputs</t>
  </si>
  <si>
    <t>FlowBench paper Listing 7, Appendix C.2, Appendix D</t>
  </si>
  <si>
    <t>Argument values come from user utterances; only type and required-field descriptions are given, with no source field</t>
  </si>
  <si>
    <t>Checked FlowBench paper §3–§4, Appendices C–D</t>
  </si>
  <si>
    <t>No uncertainty object that must be maintained persistently was found</t>
  </si>
  <si>
    <t>Checked FlowBench paper Appendix C.2</t>
  </si>
  <si>
    <t>Multiple intents are handled by prompt rules and do not form conflict objects</t>
  </si>
  <si>
    <t>Checked FlowBench paper §2.1, Appendix D</t>
  </si>
  <si>
    <t>Single agent, user and environment; no multi-agent division of labor</t>
  </si>
  <si>
    <t>Checked FlowBench paper §3.1, Appendix D</t>
  </si>
  <si>
    <t>User requirements are refined over turns, but the design does not make feedback correction or revision part of the standard process</t>
  </si>
  <si>
    <t>Checked the full FlowBench paper</t>
  </si>
  <si>
    <t>No rollback requirement</t>
  </si>
  <si>
    <t>4</t>
  </si>
  <si>
    <t>TravelPlanner</t>
  </si>
  <si>
    <t>TravelPlanner paper Fig. 3, Appendix C.2, Table 2</t>
  </si>
  <si>
    <t>Tool names are given explicitly in trajectory "Action N" entries</t>
  </si>
  <si>
    <t>TravelPlanner paper Fig. 3, Appendix C.2</t>
  </si>
  <si>
    <t>Action N / Observation N give explicit step numbers</t>
  </si>
  <si>
    <t>TravelPlanner paper Appendix B.3.1</t>
  </si>
  <si>
    <t>Notebook content is only appended by NotebookWrite, so its state at any moment can be uniquely derived from the write sequence; the database is static</t>
  </si>
  <si>
    <t>NotebookWrite is specified to record the immediately preceding search result for use by the Planner, so write dependences can be recovered under this convention; dependences between searches cannot be recovered</t>
  </si>
  <si>
    <t>TravelPlanner paper §3.3, §5.1</t>
  </si>
  <si>
    <t>Sources of arguments such as city and date are not recorded and can only be inferred semantically</t>
  </si>
  <si>
    <t>Checked TravelPlanner paper §3–§5</t>
  </si>
  <si>
    <t>Hard and commonsense constraints are both definite; no uncertainty object was found</t>
  </si>
  <si>
    <t>Candidate flights and hotels are alternatives and do not constitute conflicting information</t>
  </si>
  <si>
    <t>Checked TravelPlanner paper §3.3, §4</t>
  </si>
  <si>
    <t>Single agent</t>
  </si>
  <si>
    <t>Checked TravelPlanner paper §4.1, Appendix B.1</t>
  </si>
  <si>
    <t>Only the Reflexion variant includes cross-attempt reflection; the standard two-stage process has no persistent updating</t>
  </si>
  <si>
    <t>Checked TravelPlanner paper §5.2</t>
  </si>
  <si>
    <t>Backtracking is listed only as future work</t>
  </si>
  <si>
    <t>5</t>
  </si>
  <si>
    <t>Reflection-Bench</t>
  </si>
  <si>
    <t>Reflection-Bench paper §4.1, Appendix A</t>
  </si>
  <si>
    <t>Each turn has only two sources, environment feedback and model choice, which can be uniquely attributed by dialogue role</t>
  </si>
  <si>
    <t>Reflection-Bench paper §3.3, Fig. 11, Figs. 15–16</t>
  </si>
  <si>
    <t>Numbered by trial and block</t>
  </si>
  <si>
    <t>Reflection-Bench paper §3.3, Table 1</t>
  </si>
  <si>
    <t>The state of hidden rules (WCST rules, PRLT reversals) is determined by task parameters and can be uniquely recovered from the trial number</t>
  </si>
  <si>
    <t>Reflection-Bench paper §3.3, Appendix A.6</t>
  </si>
  <si>
    <t>Feedback from the previous trial is the input to the next trial; the dependence is an adjacency relation fixed by design, and the record has no dependence field</t>
  </si>
  <si>
    <t>Checked Reflection-Bench paper Appendices A.1–A.8</t>
  </si>
  <si>
    <t>Actions are single choices with no structured arguments</t>
  </si>
  <si>
    <t>Reflection-Bench paper §3.3 (WPT and PRLT probabilistic environments)</t>
  </si>
  <si>
    <t>The task requires continuous probability estimation, but the model outputs no propagable confidence representation</t>
  </si>
  <si>
    <t>Reflection-Bench paper §3.3 (WCST rule switching)</t>
  </si>
  <si>
    <t>Rule switching makes old and new evidence compete, but the record has no representation of competing hypotheses</t>
  </si>
  <si>
    <t>Checked Reflection-Bench paper §5</t>
  </si>
  <si>
    <t>Multi-model collaboration is listed only as future work</t>
  </si>
  <si>
    <t>Reflection-Bench paper §3.3, Appendices A.3, A.7</t>
  </si>
  <si>
    <t>Belief updating is the measured object, but model belief entries and their before/after states are not in the record</t>
  </si>
  <si>
    <t>Checked Reflection-Bench paper §3.2</t>
  </si>
  <si>
    <t>"Going back to the past" in DC-IGT is reselection within a trial, not state rollback</t>
  </si>
  <si>
    <t>6</t>
  </si>
  <si>
    <t>LLF-Bench</t>
  </si>
  <si>
    <t>LLF-Bench paper §3, Listing 1</t>
  </si>
  <si>
    <t>The dictionary returned at each step has separate observation, instruction and feedback keys</t>
  </si>
  <si>
    <t>LLF-Bench paper §3</t>
  </si>
  <si>
    <t>The step interface returns step by step without a step-number field; order is uniquely determined by call order</t>
  </si>
  <si>
    <t>LLF-Bench paper §3, §3.2</t>
  </si>
  <si>
    <t>Environment state changes with actions and no state identifier is recorded; recovery requires a convention of replaying the environment with the seed</t>
  </si>
  <si>
    <t>LLF-Bench paper §2.1, §3</t>
  </si>
  <si>
    <t>Feedback affects the next action; the record has no dependence field</t>
  </si>
  <si>
    <t>Checked LLF-Bench paper §4.7, §4.8</t>
  </si>
  <si>
    <t>Actions are text or target poses; argument sources have no independent analytical significance</t>
  </si>
  <si>
    <t>Checked LLF-Bench paper §2–§4</t>
  </si>
  <si>
    <t>No uncertainty object requiring propagation was found</t>
  </si>
  <si>
    <t>No competing information was found</t>
  </si>
  <si>
    <t>Checked LLF-Bench paper §2, footnote 2</t>
  </si>
  <si>
    <t>The teacher is part of the environment; single agent</t>
  </si>
  <si>
    <t>LLF-Bench paper §3.1</t>
  </si>
  <si>
    <t>Language-feedback correction is the standard process, but the record has no entry identity or before/after validity state</t>
  </si>
  <si>
    <t>Checked the full LLF-Bench paper</t>
  </si>
  <si>
    <t>7</t>
  </si>
  <si>
    <t>ToolEmu</t>
  </si>
  <si>
    <t>ToolEmu paper Fig. 2, §3.3, Table A.4</t>
  </si>
  <si>
    <t>The trajectory Action field gives the tool name explicitly</t>
  </si>
  <si>
    <t>ToolEmu paper §2, §3.1, Fig. 2</t>
  </si>
  <si>
    <t>Steps a_n/ω_n are numbered in the formalization, and trajectories are stored in order</t>
  </si>
  <si>
    <t>ToolEmu paper §3.1, Figs. 2 and 4</t>
  </si>
  <si>
    <t>The simulator maintains world state implicitly; observations contain object IDs but no state or version identifiers</t>
  </si>
  <si>
    <t>ToolEmu paper §3.1, Table A.1</t>
  </si>
  <si>
    <t>The simulator reads previous actions and observations; the record has no dependence field</t>
  </si>
  <si>
    <t>ToolEmu paper Table A.1, Appendix A.2</t>
  </si>
  <si>
    <t>The evaluator checks fabricated or assumed inputs, but trajectories do not record argument sources</t>
  </si>
  <si>
    <t>ToolEmu paper §3.3 (task underspecification)</t>
  </si>
  <si>
    <t>Test cases contain underspecified instructions, but the agent side has no propagable uncertainty representation; risk-likelihood labels are evaluator output</t>
  </si>
  <si>
    <t>Checked ToolEmu paper §2–§4, Appendix A</t>
  </si>
  <si>
    <t>No competing-information object was found</t>
  </si>
  <si>
    <t>Checked ToolEmu paper §3</t>
  </si>
  <si>
    <t>Single agent; the simulator and evaluator bear no task responsibility</t>
  </si>
  <si>
    <t>Checked ToolEmu paper §3.1, Appendix A.1</t>
  </si>
  <si>
    <t>Regeneration on format violations is internal to the simulator and is not persistent updating in the task process</t>
  </si>
  <si>
    <t>Checked the full ToolEmu paper</t>
  </si>
  <si>
    <t>Risky actions may be irreversible, but the standard process includes no rollback</t>
  </si>
  <si>
    <t>8</t>
  </si>
  <si>
    <t>API-Bank</t>
  </si>
  <si>
    <t>API-Bank paper Figs. 6–8</t>
  </si>
  <si>
    <t>Dialogues are labeled User/LLM/API-Request/Observation, and observations contain api_name</t>
  </si>
  <si>
    <t>API-Bank paper Figs. 6–8, Table 2</t>
  </si>
  <si>
    <t>Dialogue entries are ordered, with no explicit step numbers</t>
  </si>
  <si>
    <t>API-Bank paper §3.1, §3.3</t>
  </si>
  <si>
    <t>Database objects such as reminders and accounts change; they are reset to defaults before evaluation, and recovering states requires replay through the API implementation</t>
  </si>
  <si>
    <t>API-Bank paper §3.2, Figs. 7 and 8</t>
  </si>
  <si>
    <t>Later calls reuse earlier return values (e.g. tokens), so dependences can be recovered by value matching, but only by assuming the values are unique</t>
  </si>
  <si>
    <t>API-Bank paper §3.2, Fig. 7</t>
  </si>
  <si>
    <t>Argument sources are not recorded; some arguments can be recovered by value matching against earlier observations</t>
  </si>
  <si>
    <t>Checked API-Bank paper §3</t>
  </si>
  <si>
    <t>API retrieval similarity is not passed downstream; no uncertainty object was found</t>
  </si>
  <si>
    <t>Checked API-Bank paper §3.2</t>
  </si>
  <si>
    <t>Annotator disagreement does not enter the task record</t>
  </si>
  <si>
    <t>Checked API-Bank paper §4</t>
  </si>
  <si>
    <t>The five agents are used only for data generation; evaluation uses a single model</t>
  </si>
  <si>
    <t>No feedback-correction or revision stage</t>
  </si>
  <si>
    <t>Checked API-Bank paper §3.3</t>
  </si>
  <si>
    <t>Database reset is not within-task rollback</t>
  </si>
  <si>
    <t>9</t>
  </si>
  <si>
    <t>ToolBench</t>
  </si>
  <si>
    <t>ToolLLM paper §2.1, §2.3, Fig. 3</t>
  </si>
  <si>
    <t>Actions record the API name, tool and category</t>
  </si>
  <si>
    <t>ToolLLM paper §2.3, Fig. 4</t>
  </si>
  <si>
    <t>DFSDT nodes are numbered and actions are ordered by turn</t>
  </si>
  <si>
    <t>Checked ToolLLM paper §2–§3, Appendix A.5</t>
  </si>
  <si>
    <t>Mainly real API queries; no multiple versions of the same object were found; §3.1 only mentions that APIs change over time</t>
  </si>
  <si>
    <t>ToolLLM paper §2.3, Appendix A.4</t>
  </si>
  <si>
    <t>Parent-child relations in the DFSDT tree uniquely recover the preceding path on which each call relies; specific data flow still requires semantic judgment</t>
  </si>
  <si>
    <t>ToolLLM paper §2.3, Appendix A.7</t>
  </si>
  <si>
    <t>Arguments are generated by the model, with no source record</t>
  </si>
  <si>
    <t>Checked ToolLLM paper Appendix A.5</t>
  </si>
  <si>
    <t>Pass/Fail/Unsure are evaluator labels; the task process has no uncertainty object</t>
  </si>
  <si>
    <t>ToolLLM paper §2.3, Fig. 4, Appendix A.8</t>
  </si>
  <si>
    <t>DFSDT keeps multiple candidate paths and marks abandoned nodes</t>
  </si>
  <si>
    <t>Checked ToolLLM paper Appendix A.8</t>
  </si>
  <si>
    <t>Checked ToolLLM paper §2.3</t>
  </si>
  <si>
    <t>No feedback correction or persistent updating</t>
  </si>
  <si>
    <t>DFSDT backtracks to earlier nodes, and the tree structure uniquely recovers the backtracking point</t>
  </si>
  <si>
    <t>10</t>
  </si>
  <si>
    <t>BFCL</t>
  </si>
  <si>
    <t>BFCL paper §3.3, §4.4, Appendix F</t>
  </si>
  <si>
    <t>Function-call records include the function name</t>
  </si>
  <si>
    <t>BFCL paper §3.3, Appendix D.1, Appendix F (Turn ID)</t>
  </si>
  <si>
    <t>Multi-turn data carry turn numbers</t>
  </si>
  <si>
    <t>BFCL paper §3.3, §4.4, Appendix E.3</t>
  </si>
  <si>
    <t>Backend state is compared with the reference state at each turn, but the state itself is not in the model record and must be recovered by replaying the API classes from the initial configuration</t>
  </si>
  <si>
    <t>BFCL paper §3.1, Appendix C.2, Appendix E.3</t>
  </si>
  <si>
    <t>There are serial/parallel categories and a function-output dependence graph (used for data construction); call-level dependences must be matched against that graph</t>
  </si>
  <si>
    <t>BFCL paper §3.3, Appendix B, Appendix C.2</t>
  </si>
  <si>
    <t>Missing-argument cases are tested, but the sources of argument values are not tracked</t>
  </si>
  <si>
    <t>Checked BFCL paper §3.3, Appendix C.2</t>
  </si>
  <si>
    <t>Abstention tests are single-turn judgments; no cross-operation uncertainty object was found</t>
  </si>
  <si>
    <t>Checked BFCL paper §4.4</t>
  </si>
  <si>
    <t>Several call sequences can reach the same state, which does not constitute conflicting information</t>
  </si>
  <si>
    <t>Checked the full BFCL paper</t>
  </si>
  <si>
    <t>Single-model evaluation</t>
  </si>
  <si>
    <t>BFCL paper §3.4.2</t>
  </si>
  <si>
    <t>The memory category includes add, overwrite and delete operations; key names give entry identity, and before/after states can be recovered from snapshots</t>
  </si>
  <si>
    <t>Backends such as the file system are modified, but there is no rollback task</t>
  </si>
  <si>
    <t>11</t>
  </si>
  <si>
    <t>ToolSandbox</t>
  </si>
  <si>
    <t>ToolSandbox paper Appendices A.2, A.3</t>
  </si>
  <si>
    <t>The message bus records sender and recipient roles, and tool trajectories record names, inputs and outputs</t>
  </si>
  <si>
    <t>ToolSandbox paper Appendices A.1, A.3</t>
  </si>
  <si>
    <t>The message bus is a linear history, with snapshots stored per turn</t>
  </si>
  <si>
    <t>ToolSandbox paper Appendix A.1, Table 7</t>
  </si>
  <si>
    <t>Execution-context snapshots of the tool database and dialogue are saved at each turn</t>
  </si>
  <si>
    <t>ToolSandbox paper §2.1, §4, Appendix A.7</t>
  </si>
  <si>
    <t>Implicit state dependences exist; the milestone DAG belongs to the evaluator and does not mark actual call dependences</t>
  </si>
  <si>
    <t>ToolSandbox paper Appendix A.5, §3–§4</t>
  </si>
  <si>
    <t>Arguments are model-generated JSON with no per-value source record</t>
  </si>
  <si>
    <t>ToolSandbox paper §3 (insufficient-information scenarios)</t>
  </si>
  <si>
    <t>Insufficient-information scenarios require the agent to identify missing information, but the record has no uncertainty representation</t>
  </si>
  <si>
    <t>Checked ToolSandbox paper Appendix A.7</t>
  </si>
  <si>
    <t>The evaluator selects the best among mappings and does not record conflicts</t>
  </si>
  <si>
    <t>Checked ToolSandbox paper Appendix A.3</t>
  </si>
  <si>
    <t>The user simulator and the agent hand over by turn, but no multi-agent responsibility or commitment is involved</t>
  </si>
  <si>
    <t>Checked ToolSandbox paper §2.1, Appendices A.2, A.6</t>
  </si>
  <si>
    <t>Execution errors drive retries, but no persistent correction or revision opportunity is designed</t>
  </si>
  <si>
    <t>Checked ToolSandbox paper Appendix A.1</t>
  </si>
  <si>
    <t>Snapshots are used for checking, not for rollback</t>
  </si>
  <si>
    <t>12</t>
  </si>
  <si>
    <t>HammerBench</t>
  </si>
  <si>
    <t>HammerBench paper Appendices B, D</t>
  </si>
  <si>
    <t>Function-call output contains a name field</t>
  </si>
  <si>
    <t>HammerBench paper §4.2, Table 6, Appendix F</t>
  </si>
  <si>
    <t>Snapshots per turn, recording the indices of the first and last turns</t>
  </si>
  <si>
    <t>HammerBench paper §4.2, §4.1.3</t>
  </si>
  <si>
    <t>The argument set of the same call is snapshotted per turn, forming multiple versions</t>
  </si>
  <si>
    <t>Checked HammerBench paper §4</t>
  </si>
  <si>
    <t>Each instance is a single function call; upstream results are not used by downstream calls</t>
  </si>
  <si>
    <t>HammerBench paper Appendices B.1, B.2, E.6</t>
  </si>
  <si>
    <t>External-information slots are labeled EK; sources of the other slots must be matched against user utterances</t>
  </si>
  <si>
    <t>Checked HammerBench paper §4.1</t>
  </si>
  <si>
    <t>Incomplete instructions require follow-up questions, but there is no cross-operation uncertainty object</t>
  </si>
  <si>
    <t>Checked HammerBench paper §4.1.3, Appendix C.4</t>
  </si>
  <si>
    <t>Old and new slot values appear in succession and are handled as revisions, without forming coexisting competitors</t>
  </si>
  <si>
    <t>Checked the full HammerBench paper</t>
  </si>
  <si>
    <t>HammerBench paper §4.1.3, Table 5, Appendix C.4</t>
  </si>
  <si>
    <t>Slot overwriting and intent shifts are test scenarios; slot names give entry identity, and before/after values are recovered from snapshots of adjacent turns</t>
  </si>
  <si>
    <t>13</t>
  </si>
  <si>
    <t>StableToolBench</t>
  </si>
  <si>
    <t>StableToolBench paper §3.1, Fig. 5, Table 13</t>
  </si>
  <si>
    <t>Cache keys and call records contain category, tool and API names</t>
  </si>
  <si>
    <t>StableToolBench paper §2.1, §3.1</t>
  </si>
  <si>
    <t>The paper does not describe a step index; calls are recorded in reasoning order</t>
  </si>
  <si>
    <t>Checked StableToolBench paper §3.1, §4.5, Table 7</t>
  </si>
  <si>
    <t>Cache versions belong to the evaluation infrastructure; no multiple states of the same object were found in the task process</t>
  </si>
  <si>
    <t>The paper explicitly does not record inter-step dependences</t>
  </si>
  <si>
    <t>StableToolBench paper §2.3, Appendix H</t>
  </si>
  <si>
    <t>Checked StableToolBench paper §3.2</t>
  </si>
  <si>
    <t>Solvable/Unsure are evaluator labels</t>
  </si>
  <si>
    <t>Checked StableToolBench paper §2.1, §2.2</t>
  </si>
  <si>
    <t>The paper does not describe the record format of the DFS candidate tree; Win Rate comparisons are not part of the task process</t>
  </si>
  <si>
    <t>Judge models vote independently; the task is single-agent</t>
  </si>
  <si>
    <t>Checked StableToolBench paper §3.1</t>
  </si>
  <si>
    <t>Cache write-back is infrastructure, not updating within the task process</t>
  </si>
  <si>
    <t>Checked StableToolBench paper Tables 2 and 7, Appendix D</t>
  </si>
  <si>
    <t>Cache snapshots do not serve within-task rollback</t>
  </si>
  <si>
    <t>14</t>
  </si>
  <si>
    <t>NESTFUL</t>
  </si>
  <si>
    <t>NESTFUL paper §3.1, Figs. 2 and 3</t>
  </si>
  <si>
    <t>The call-sequence JSON contains a name field</t>
  </si>
  <si>
    <t>NESTFUL paper Figs. 1 and 2</t>
  </si>
  <si>
    <t>Calls carry labels (var_1, var_2, ...), and list order is execution order</t>
  </si>
  <si>
    <t>Checked NESTFUL paper §3–§4</t>
  </si>
  <si>
    <t>Function calls are mostly stateless computations</t>
  </si>
  <si>
    <t>NESTFUL paper §3.1, §4.5, Fig. 6</t>
  </si>
  <si>
    <t>Each sample is modeled as a DAG of call nodes and data-dependence edges</t>
  </si>
  <si>
    <t>NESTFUL paper §3.1, Figs. 1 and 2</t>
  </si>
  <si>
    <t>Arguments explicitly reference earlier outputs in the form $var_1.result$</t>
  </si>
  <si>
    <t>Deterministic nested calls; no uncertainty object</t>
  </si>
  <si>
    <t>Checked NESTFUL paper §4.4</t>
  </si>
  <si>
    <t>Alternative reasoning paths affect only scoring</t>
  </si>
  <si>
    <t>Checked NESTFUL paper §4.2, §4.4</t>
  </si>
  <si>
    <t>Checked the full NESTFUL paper</t>
  </si>
  <si>
    <t>The call sequence is generated in one pass, with no feedback or revision</t>
  </si>
  <si>
    <t>No persistent state</t>
  </si>
  <si>
    <t>15</t>
  </si>
  <si>
    <t>τ-bench</t>
  </si>
  <si>
    <t>τ-bench paper Appendix C.2, Table 4</t>
  </si>
  <si>
    <t>Trajectories distinguish user/assistant/tool, and calls are written as Function(arguments, name)</t>
  </si>
  <si>
    <t>τ-bench paper §5, Appendix C.2</t>
  </si>
  <si>
    <t>Messages are unnumbered and ordered sequentially</t>
  </si>
  <si>
    <t>τ-bench paper §3, Appendix C.2.1</t>
  </si>
  <si>
    <t>State changes of objects such as orders appear only in tool outputs; full state versions must be recovered by replaying calls on the initial database</t>
  </si>
  <si>
    <t>τ-bench paper Appendices B.1, C.2</t>
  </si>
  <si>
    <t>Calls are linked by unique order and user IDs, so dependences can be recovered by value matching</t>
  </si>
  <si>
    <t>τ-bench paper §3, Fig. 2d, Appendix B.1</t>
  </si>
  <si>
    <t>Argument sources are not recorded but can be matched by ID against earlier user utterances or tool outputs; the user confirmation required by policy has no separate field</t>
  </si>
  <si>
    <t>Checked τ-bench paper §3, §5</t>
  </si>
  <si>
    <t>No uncertainty object was found</t>
  </si>
  <si>
    <t>Checked τ-bench paper §5.2</t>
  </si>
  <si>
    <t>No recording requirement for conflicting information was found</t>
  </si>
  <si>
    <t>τ-bench paper Table 4, Appendices B.1, C.2.1</t>
  </si>
  <si>
    <t>The transfer_to_human_agents call and "Transfer successful" record the handover explicitly; commitment state is not recorded</t>
  </si>
  <si>
    <t>τ-bench paper Appendices C.2.1–C.2.2</t>
  </si>
  <si>
    <t>Users changing requests midway is a common case; item_id gives entry identity, and the pre-modification state must be taken from earlier query outputs</t>
  </si>
  <si>
    <t>Checked the full τ-bench paper</t>
  </si>
  <si>
    <t>Order modification and cancellation do not constitute rollback tasks</t>
  </si>
  <si>
    <t>16</t>
  </si>
  <si>
    <t>τ²-bench</t>
  </si>
  <si>
    <t>τ²-bench paper §3.1, Fig. 1, Appendix A.2</t>
  </si>
  <si>
    <t>Agent tools and user tools are separate, and evaluation actions contain a Requestor field</t>
  </si>
  <si>
    <t>τ²-bench paper §3.1, Appendices A.3–A.4</t>
  </si>
  <si>
    <t>Only one party acts per turn; transcripts are unnumbered</t>
  </si>
  <si>
    <t>τ²-bench paper §3.1</t>
  </si>
  <si>
    <t>The agent database and user device state change with calls, without version identifiers; recovery requires replay</t>
  </si>
  <si>
    <t>τ²-bench paper §3.2, §4.2</t>
  </si>
  <si>
    <t>Dependences exist between fault types, but the record has no dependence field</t>
  </si>
  <si>
    <t>τ²-bench paper Appendix A.2</t>
  </si>
  <si>
    <t>Sources of argument values are not recorded</t>
  </si>
  <si>
    <t>Checked τ²-bench paper §3–§4</t>
  </si>
  <si>
    <t>Fault diagnosis has an uncertainty component, but no representation that must be maintained persistently was found</t>
  </si>
  <si>
    <t>No conflicting-information object was found</t>
  </si>
  <si>
    <t>τ²-bench paper §3.1, Appendices A.2, C.2</t>
  </si>
  <si>
    <t>In the dual-control environment, actions can be recovered by caller attribution, and transfers are marked with ###TRANSFER###; whether the user commits to performing an operation has no separate record</t>
  </si>
  <si>
    <t>Checked τ²-bench paper §3.3, Appendix B.2</t>
  </si>
  <si>
    <t>No correction or revision stage</t>
  </si>
  <si>
    <t>Checked the full τ²-bench paper</t>
  </si>
  <si>
    <t>17</t>
  </si>
  <si>
    <t>MCP-Atlas</t>
  </si>
  <si>
    <t>MCP-Atlas paper §3.3 Table 2, Appendix C.1, Appendix H Table 11</t>
  </si>
  <si>
    <t>Tool names and server names are explicit</t>
  </si>
  <si>
    <t>MCP-Atlas paper §3.2, Appendix C.1, §5.2</t>
  </si>
  <si>
    <t>Reference trajectories are ordered by step</t>
  </si>
  <si>
    <t>Checked MCP-Atlas paper §4.3, §6</t>
  </si>
  <si>
    <t>The benchmark is read-only, with no state modification</t>
  </si>
  <si>
    <t>MCP-Atlas paper §3.2, Appendix G.1</t>
  </si>
  <si>
    <t>Reference trajectories contain a dependencies field; the agent's own trajectories do not</t>
  </si>
  <si>
    <t>MCP-Atlas paper §3.2, Table 9</t>
  </si>
  <si>
    <t>Arguments and outputs are recorded, but argument sources are not</t>
  </si>
  <si>
    <t>Checked MCP-Atlas paper §4.1</t>
  </si>
  <si>
    <t>Claim-level scoring belongs to the evaluator</t>
  </si>
  <si>
    <t>Checked MCP-Atlas paper §3.2, §4.3</t>
  </si>
  <si>
    <t>Distractor tools are alternatives, not conflicting information</t>
  </si>
  <si>
    <t>Checked MCP-Atlas paper §6</t>
  </si>
  <si>
    <t>Single agent, single turn</t>
  </si>
  <si>
    <t>Single-turn and read-only; multi-turn interaction is listed as future work</t>
  </si>
  <si>
    <t>Read-only, no revision</t>
  </si>
  <si>
    <t>18</t>
  </si>
  <si>
    <t>Toolathlon</t>
  </si>
  <si>
    <t>Toolathlon paper Appendix A Table 4, Appendix E.2</t>
  </si>
  <si>
    <t>Tool calls contain tool names and MCP server names</t>
  </si>
  <si>
    <t>Toolathlon paper Appendices C.2, E.2</t>
  </si>
  <si>
    <t>Trajectories are numbered by turn</t>
  </si>
  <si>
    <t>Toolathlon paper §2.3, §2.4, §3.2</t>
  </si>
  <si>
    <t>Tasks modify the state of files, spreadsheets, emails and so on, but only the initial state and evaluation snapshots exist; process states have no identifiers</t>
  </si>
  <si>
    <t>Toolathlon paper §3.1, Table 1</t>
  </si>
  <si>
    <t>Cross-application dependences are discussed only conceptually</t>
  </si>
  <si>
    <t>Toolathlon paper §3.1, Appendix E.1</t>
  </si>
  <si>
    <t>Arguments must be inferred from the environment, and the record does not contain their sources</t>
  </si>
  <si>
    <t>Checked Toolathlon paper §3–§4</t>
  </si>
  <si>
    <t>Checked Toolathlon paper §2.2, Appendix D</t>
  </si>
  <si>
    <t>Single-agent loop</t>
  </si>
  <si>
    <t>Checked Toolathlon paper Appendix B, Table 4</t>
  </si>
  <si>
    <t>A Memory server is listed, but the standard process does not require persistent updating</t>
  </si>
  <si>
    <t>Checked Toolathlon paper §2.4, §3.2</t>
  </si>
  <si>
    <t>The environment is reset for each run; no within-task rollback</t>
  </si>
  <si>
    <t>19</t>
  </si>
  <si>
    <t>APOLLO</t>
  </si>
  <si>
    <t>APOLLO repository README (tool-calling framework, hermes parser)</t>
  </si>
  <si>
    <t>Uses a function-calling format; calls contain tool names</t>
  </si>
  <si>
    <t>APOLLO repository README (task_tool8_turn4.json is a history of 4 sessions)</t>
  </si>
  <si>
    <t>Interaction histories are organized by session number</t>
  </si>
  <si>
    <t>Checked APOLLO paper abstract and repository README</t>
  </si>
  <si>
    <t>Could not confirm whether preferences change across sessions</t>
  </si>
  <si>
    <t>APOLLO paper abstract, repository README</t>
  </si>
  <si>
    <t>No documentation of dependence records for multi-step tool calls was found</t>
  </si>
  <si>
    <t>APOLLO paper abstract</t>
  </si>
  <si>
    <t>Argument values should come from explicit or implicit preferences in the history, but the record does not mark their sources</t>
  </si>
  <si>
    <t>Implicit preference signals are uncertain, but no representation requiring propagation was found</t>
  </si>
  <si>
    <t>Could not confirm whether mutually conflicting preference signals are included</t>
  </si>
  <si>
    <t>Checked APOLLO paper abstract</t>
  </si>
  <si>
    <t>Learning user preferences across sessions is knowledge updating, but the record gives neither preference entries nor their before/after states</t>
  </si>
  <si>
    <t>20</t>
  </si>
  <si>
    <t>GOATBench</t>
  </si>
  <si>
    <t>GOAT paper Figs. 6–9, Appendix D</t>
  </si>
  <si>
    <t>Each step in api_path contains api_name</t>
  </si>
  <si>
    <t>GOAT paper §3.1.2</t>
  </si>
  <si>
    <t>Call sequences are in topological order, with no explicit step numbers</t>
  </si>
  <si>
    <t>Checked GOAT paper §3, Appendix D</t>
  </si>
  <si>
    <t>Mainly RapidAPI queries; no multiple versions of the same object were found</t>
  </si>
  <si>
    <t>GOAT paper §3.1.1, §3.1.2, Fig. 5</t>
  </si>
  <si>
    <t>The dependence graph is used for data construction; the record contains only per-step input/output, and recovery requires value matching</t>
  </si>
  <si>
    <t>GOAT paper §3.1.2, Appendix L.4, Fig. 18</t>
  </si>
  <si>
    <t>Arguments are either taken from earlier outputs or synthesized from the specification; the record does not mark which, so value matching is required</t>
  </si>
  <si>
    <t>Checked GOAT paper Appendix A.2</t>
  </si>
  <si>
    <t>Checked the full GOAT paper</t>
  </si>
  <si>
    <t>No conflicting information was found</t>
  </si>
  <si>
    <t>Checked GOAT paper Appendix E</t>
  </si>
  <si>
    <t>Checked GOAT paper §4.2, Appendix D</t>
  </si>
  <si>
    <t>No feedback or revision stage</t>
  </si>
  <si>
    <t>No persistent state revision</t>
  </si>
  <si>
    <t>21</t>
  </si>
  <si>
    <t>Mind2Web</t>
  </si>
  <si>
    <t>Mind2Web paper §2.1, §2.2, Figs. 2 and 5</t>
  </si>
  <si>
    <t>Tasks record the website and domain, and actions record the target element</t>
  </si>
  <si>
    <t>Mind2Web paper §2.1, Fig. 2</t>
  </si>
  <si>
    <t>Action sequences are stored in order; step numbers in the figures are for display</t>
  </si>
  <si>
    <t>Mind2Web paper §2.1</t>
  </si>
  <si>
    <t>MHTML, DOM snapshots and HAR are saved at each step</t>
  </si>
  <si>
    <t>Only actions that cause page navigation are marked; there is no dependence field</t>
  </si>
  <si>
    <t>Mind2Web paper §2.1, Appendix B.3</t>
  </si>
  <si>
    <t>Sources of Type and Select values are not recorded</t>
  </si>
  <si>
    <t>Checked Mind2Web paper §3.1, Appendix B.4</t>
  </si>
  <si>
    <t>Offline demonstration data; "unsure" belongs to the annotation verification process</t>
  </si>
  <si>
    <t>Checked Mind2Web paper §3.2, Appendix C.1</t>
  </si>
  <si>
    <t>Candidate ranking belongs to the model method</t>
  </si>
  <si>
    <t>Checked Mind2Web paper §2.2, Appendix B</t>
  </si>
  <si>
    <t>Crowdsourcing and author verification belong to the data production process</t>
  </si>
  <si>
    <t>Checked Mind2Web paper §2.2</t>
  </si>
  <si>
    <t>Task description revision belongs to data cleaning</t>
  </si>
  <si>
    <t>Checked the full Mind2Web paper</t>
  </si>
  <si>
    <t>22</t>
  </si>
  <si>
    <t>WebArena</t>
  </si>
  <si>
    <t>WebArena paper §2.3, §2.4, Fig. 3</t>
  </si>
  <si>
    <t>Observations contain URLs and tabs, and actions reference element IDs</t>
  </si>
  <si>
    <t>WebArena paper §2.1, Appendix A.6</t>
  </si>
  <si>
    <t>Steps are defined with index t, and trajectory files are saved in order</t>
  </si>
  <si>
    <t>WebArena repository README (rendered trajectory HTML in the results directory); paper §2.3</t>
  </si>
  <si>
    <t>Rendered trajectory files save observations step by step; the step-level content was not opened for verification</t>
  </si>
  <si>
    <t>WebArena paper §2.1</t>
  </si>
  <si>
    <t>No dependence field</t>
  </si>
  <si>
    <t>WebArena paper §2.4, §4</t>
  </si>
  <si>
    <t>Arguments are taken from the current observation, with no source record</t>
  </si>
  <si>
    <t>Checked WebArena paper §2–§4, Appendix A.6</t>
  </si>
  <si>
    <t>Checked WebArena paper §1</t>
  </si>
  <si>
    <t>Multiple valid paths do not constitute conflicting information</t>
  </si>
  <si>
    <t>Checked WebArena paper §4</t>
  </si>
  <si>
    <t>Checked WebArena paper §2.1, §3.2</t>
  </si>
  <si>
    <t>No feedback-correction stage</t>
  </si>
  <si>
    <t>Checked WebArena paper Appendix A.2</t>
  </si>
  <si>
    <t>Container resets occur between tasks and are not within-task rollback</t>
  </si>
  <si>
    <t>23</t>
  </si>
  <si>
    <t>WebVoyager</t>
  </si>
  <si>
    <t>WebVoyager paper §3.3, §4.1, Appendix C</t>
  </si>
  <si>
    <t>The action format references numeric element labels, and tasks record the website</t>
  </si>
  <si>
    <t>WebVoyager paper Fig. 4, Figs. 9–22</t>
  </si>
  <si>
    <t>Trajectories are numbered step by step</t>
  </si>
  <si>
    <t>WebVoyager paper §3.3, §5.1</t>
  </si>
  <si>
    <t>A screenshot is saved at each step as the page state</t>
  </si>
  <si>
    <t>WebVoyager paper §3.2</t>
  </si>
  <si>
    <t>The context retains history, with no dependence field</t>
  </si>
  <si>
    <t>WebVoyager paper §3.2, Appendix C</t>
  </si>
  <si>
    <t>Checked WebVoyager paper §4.3, §5</t>
  </si>
  <si>
    <t>Golden/Possible are answer labels</t>
  </si>
  <si>
    <t>Checked WebVoyager paper §5.2, Appendix B</t>
  </si>
  <si>
    <t>Conflict handling occurs only on the evaluator side</t>
  </si>
  <si>
    <t>Checked WebVoyager paper §3</t>
  </si>
  <si>
    <t>Checked WebVoyager paper §3.3</t>
  </si>
  <si>
    <t>Regeneration after errors is an immediate retry</t>
  </si>
  <si>
    <t>Checked WebVoyager paper §3.4</t>
  </si>
  <si>
    <t>The Back action is browser navigation</t>
  </si>
  <si>
    <t>24</t>
  </si>
  <si>
    <t>WebLINX</t>
  </si>
  <si>
    <t>WebLINX paper §3, Tables 3 and 6</t>
  </si>
  <si>
    <t>say(speaker=...) distinguishes instructor and navigator; load(url) and element uids are explicit</t>
  </si>
  <si>
    <t>WebLINX paper §3, §3.1</t>
  </si>
  <si>
    <t>Each turn carries a turn index t</t>
  </si>
  <si>
    <t>WebLINX paper §3.1</t>
  </si>
  <si>
    <t>The DOM tree, screenshot and viewport are saved at each turn</t>
  </si>
  <si>
    <t>Demonstrations are state-action sequences, with no dependence field</t>
  </si>
  <si>
    <t>WebLINX paper §3, Appendix A.5</t>
  </si>
  <si>
    <t>Sources of input text are not recorded</t>
  </si>
  <si>
    <t>Checked WebLINX paper §3–§5</t>
  </si>
  <si>
    <t>Checked WebLINX paper §3.1, §5.1</t>
  </si>
  <si>
    <t>Candidate element ranking belongs to the model method</t>
  </si>
  <si>
    <t>WebLINX paper §3 (data collection)</t>
  </si>
  <si>
    <t>The division of labor between instructor and navigator is fixed, and the attribution of every utterance and action is explicit; handover state has no separate record</t>
  </si>
  <si>
    <t>Checked WebLINX paper §3</t>
  </si>
  <si>
    <t>The instructor may add or adjust instructions, but the design does not make correction part of the standard process</t>
  </si>
  <si>
    <t>Checked the full WebLINX paper</t>
  </si>
  <si>
    <t>25</t>
  </si>
  <si>
    <t>VisualWebArena</t>
  </si>
  <si>
    <t>VisualWebArena paper §3.1, §3.2, Fig. 2, Table 2</t>
  </si>
  <si>
    <t>Observations contain URLs and tabs, and actions reference Set-of-Marks or accessibility-tree element IDs</t>
  </si>
  <si>
    <t>VisualWebArena paper Fig. 3, Figs. 12–13, Appendix C.3</t>
  </si>
  <si>
    <t>Trajectories are ordered by step, without timestamps</t>
  </si>
  <si>
    <t>VisualWebArena paper §3, §3.1</t>
  </si>
  <si>
    <t>Observations contain page content, but the paper does not state that they are saved step by step; if WebArena's rendered trajectory files are reused, the code could change to D</t>
  </si>
  <si>
    <t>VisualWebArena paper §3</t>
  </si>
  <si>
    <t>VisualWebArena paper §3.2, Figs. 16–17</t>
  </si>
  <si>
    <t>Element IDs are taken from the current observation; sources of input text are not recorded</t>
  </si>
  <si>
    <t>Checked VisualWebArena paper §3.3, Appendix F</t>
  </si>
  <si>
    <t>Rewards are binary; no uncertainty object</t>
  </si>
  <si>
    <t>Checked the full VisualWebArena paper</t>
  </si>
  <si>
    <t>Checked VisualWebArena paper §5, Appendix A</t>
  </si>
  <si>
    <t>Checked VisualWebArena paper §3.3, Appendix C.4</t>
  </si>
  <si>
    <t>Checked VisualWebArena paper Table 1</t>
  </si>
  <si>
    <t>go_back is browser navigation</t>
  </si>
  <si>
    <t>26</t>
  </si>
  <si>
    <t>MMInA</t>
  </si>
  <si>
    <t>MMInA paper §3.1, §3.3, Appendix A.1 Table A1</t>
  </si>
  <si>
    <t>Each hop corresponds to a specific website, and task descriptions contain website links</t>
  </si>
  <si>
    <t>MMInA paper §3.1, Table 4, Appendix B.1 Table A2</t>
  </si>
  <si>
    <t>Numbered by hop, with actions counted per hop</t>
  </si>
  <si>
    <t>MMInA paper Appendix A.1 Table A1</t>
  </si>
  <si>
    <t>Website content is updated over time; only Wikipedia uses dated snapshots, and page versions have no identifiers</t>
  </si>
  <si>
    <t>MMInA paper §3.1, §3.4</t>
  </si>
  <si>
    <t>Hops follow one another in order; how information from an earlier hop is used by a later hop is not recorded</t>
  </si>
  <si>
    <t>MMInA paper §3.1</t>
  </si>
  <si>
    <t>No record links arguments to their source observations</t>
  </si>
  <si>
    <t>Checked MMInA paper §3.4</t>
  </si>
  <si>
    <t>The evaluator gives yes/no judgments; no uncertainty object</t>
  </si>
  <si>
    <t>Checked MMInA paper §4.2–§4.3</t>
  </si>
  <si>
    <t>Checked MMInA paper §2</t>
  </si>
  <si>
    <t>Checked MMInA paper §4.4</t>
  </si>
  <si>
    <t>Procedural memory is an enhancement method, not part of the standard process</t>
  </si>
  <si>
    <t>Checked the full MMInA paper</t>
  </si>
  <si>
    <t>27</t>
  </si>
  <si>
    <t>AssistantBench</t>
  </si>
  <si>
    <t>AssistantBench paper Appendix A.6, Fig. 16</t>
  </si>
  <si>
    <t>GOTO and SEARCH actions carry URLs or queries; tasks also include gold URLs for verifying answers (§3.2)</t>
  </si>
  <si>
    <t>AssistantBench paper §5.1, §6.1</t>
  </si>
  <si>
    <t>Counted by step, without timestamps</t>
  </si>
  <si>
    <t>AssistantBench paper §3.2, §6.4</t>
  </si>
  <si>
    <t>Web information changes over time; tasks add date constraints and label timeliness categories, but process records have no version identifiers</t>
  </si>
  <si>
    <t>AssistantBench paper §4</t>
  </si>
  <si>
    <t>SPA's memory buffer and plan pass information across steps, with no dependence field</t>
  </si>
  <si>
    <t>AssistantBench paper Appendix A.6, §4</t>
  </si>
  <si>
    <t>Argument sources are not recorded</t>
  </si>
  <si>
    <t>AssistantBench paper §3.4, Appendix A.10</t>
  </si>
  <si>
    <t>Abstaining under uncertainty is allowed, but uncertainty appears only as an empty final answer, with no cross-step representation</t>
  </si>
  <si>
    <t>Checked AssistantBench paper §5.1</t>
  </si>
  <si>
    <t>The SPA→CB fallback belongs to method design</t>
  </si>
  <si>
    <t>Ensemble fallback involves no multi-agent responsibility</t>
  </si>
  <si>
    <t>Checked AssistantBench paper Appendix A.2</t>
  </si>
  <si>
    <t>Revision of task wording belongs to data curation</t>
  </si>
  <si>
    <t>Checked the full AssistantBench paper</t>
  </si>
  <si>
    <t>28</t>
  </si>
  <si>
    <t>WebCanvas</t>
  </si>
  <si>
    <t>WebCanvas paper §2.2, §3.2, Appendix A.1, Table 8</t>
  </si>
  <si>
    <t>Key nodes are identified by URL, and steps record selector paths and element IDs</t>
  </si>
  <si>
    <t>WebCanvas paper Fig. 1, Appendix H.1 Fig. 16</t>
  </si>
  <si>
    <t>Steps are numbered, and test runs carry per-step durations</t>
  </si>
  <si>
    <t>WebCanvas paper Appendix A.1, §3.2</t>
  </si>
  <si>
    <t>A screenshot is saved at each step; changes to live websites are monitored separately on a regular basis</t>
  </si>
  <si>
    <t>WebCanvas paper §2.2, §2.3</t>
  </si>
  <si>
    <t>Key nodes are mandatory milestones; step dependences are not given</t>
  </si>
  <si>
    <t>WebCanvas paper Appendices A.1, L</t>
  </si>
  <si>
    <t>Operation arguments are recorded, but their sources are not</t>
  </si>
  <si>
    <t>Checked WebCanvas paper Appendices D, L</t>
  </si>
  <si>
    <t>Scores and relevance belong to the evaluator</t>
  </si>
  <si>
    <t>Checked WebCanvas paper §2.2, Appendix A.2</t>
  </si>
  <si>
    <t>Checked WebCanvas paper §4</t>
  </si>
  <si>
    <t>Planning, observation, memory and reward are internal modules of a single agent</t>
  </si>
  <si>
    <t>Checked WebCanvas paper §4, Appendix G.1</t>
  </si>
  <si>
    <t>The memory module belongs to the baseline design</t>
  </si>
  <si>
    <t>Checked WebCanvas paper Appendix H</t>
  </si>
  <si>
    <t>Data maintenance is not within-task rollback</t>
  </si>
  <si>
    <t>29</t>
  </si>
  <si>
    <t>ST-WebAgentBench</t>
  </si>
  <si>
    <t>ST-WebAgentBench paper Tables 5 and 16, §3.6</t>
  </si>
  <si>
    <t>Tasks contain task_id and site, policies contain a source field (organization/user/task), and elements use bid</t>
  </si>
  <si>
    <t>ST-WebAgentBench paper Appendix G.2</t>
  </si>
  <si>
    <t>Trajectories are ordered lists, and the evaluator indexes actions by position</t>
  </si>
  <si>
    <t>ST-WebAgentBench paper §3.6, Table 16</t>
  </si>
  <si>
    <t>Each trajectory step contains DOM, screenshot and accessibility-tree observations</t>
  </si>
  <si>
    <t>ST-WebAgentBench paper §3.6</t>
  </si>
  <si>
    <t>Sequence matching belongs to the evaluator; there is no dependence field</t>
  </si>
  <si>
    <t>ST-WebAgentBench paper §3.6, Tables 10 and 16</t>
  </si>
  <si>
    <t>The evaluator checks whether inputs are fabricated, but argument sources are not recorded</t>
  </si>
  <si>
    <t>Checked ST-WebAgentBench paper §3.3, Appendix H.3</t>
  </si>
  <si>
    <t>Results are binary flags</t>
  </si>
  <si>
    <t>ST-WebAgentBench paper §3.1, Table 11, Appendices E–F</t>
  </si>
  <si>
    <t>Policies are layered by source with defined priorities, and the policy_contradiction template explicitly constructs conflicts</t>
  </si>
  <si>
    <t>Checked ST-WebAgentBench paper Table 19, §3.6, Appendix G.1</t>
  </si>
  <si>
    <t>There are ask-the-user and human-in-the-loop actions, but multi-agent handover is out of scope</t>
  </si>
  <si>
    <t>Checked ST-WebAgentBench paper Appendix H.1</t>
  </si>
  <si>
    <t>Checked ST-WebAgentBench paper Tables 9 and 16</t>
  </si>
  <si>
    <t>The irreversible-action policy aims to prohibit deletion; the standard process includes no rollback</t>
  </si>
  <si>
    <t>30</t>
  </si>
  <si>
    <t>WorkArena</t>
  </si>
  <si>
    <t>WorkArena paper §4.1, Fig. 1b</t>
  </si>
  <si>
    <t>Observations contain the page URL, and actions reference bid</t>
  </si>
  <si>
    <t>WorkArena paper §4 footnote 4, §5.2</t>
  </si>
  <si>
    <t>Observations are extracted at each time step, without timestamps</t>
  </si>
  <si>
    <t>WorkArena paper §4.1</t>
  </si>
  <si>
    <t>Each BrowserGym step observation contains a DOM snapshot, an accessibility tree and a screenshot; the paper does not describe the on-disk trajectory format</t>
  </si>
  <si>
    <t>WorkArena paper §5.1, Appendix A.1</t>
  </si>
  <si>
    <t>History is passed in the prompt, with no dependence field</t>
  </si>
  <si>
    <t>WorkArena paper §3.1</t>
  </si>
  <si>
    <t>The process of deriving arguments is not recorded</t>
  </si>
  <si>
    <t>Checked WorkArena paper §5.2</t>
  </si>
  <si>
    <t>Standard errors are used only for aggregate success rates</t>
  </si>
  <si>
    <t>Checked WorkArena paper §5.4, Appendix A.3</t>
  </si>
  <si>
    <t>Checked WorkArena paper §4.1</t>
  </si>
  <si>
    <t>Chat allows users to change instructions midway, but the task design does not use it</t>
  </si>
  <si>
    <t>Checked WorkArena paper §4.2</t>
  </si>
  <si>
    <t>Teardown cleanup is not within-task rollback</t>
  </si>
  <si>
    <t>31</t>
  </si>
  <si>
    <t>WorkArena++</t>
  </si>
  <si>
    <t>WorkArena++ paper §4.1, Appendices B, D</t>
  </si>
  <si>
    <t>Task names and seeds identify configurations, and elements use bid</t>
  </si>
  <si>
    <t>WorkArena++ paper §4.2, Appendix E.2 Fig. 44</t>
  </si>
  <si>
    <t>Trajectory steps are ordered, without timestamps</t>
  </si>
  <si>
    <t>WorkArena++ paper Appendix E.2, §3.3</t>
  </si>
  <si>
    <t>A screenshot, accessibility tree and DOM are saved at each trajectory step</t>
  </si>
  <si>
    <t>WorkArena++ paper §3, §3.3, Appendix E.2</t>
  </si>
  <si>
    <t>Tasks are sequential compositions of atomic subtasks; steps are not labeled with their subtask and must be aligned using the composition definition</t>
  </si>
  <si>
    <t>WorkArena++ paper §3.1, §3.2, Appendix F</t>
  </si>
  <si>
    <t>Arguments must be retrieved from tickets, the knowledge base and dashboards, and their sources are not recorded</t>
  </si>
  <si>
    <t>Checked WorkArena++ paper Appendices A.4, B</t>
  </si>
  <si>
    <t>No uncertainty object</t>
  </si>
  <si>
    <t>WorkArena++ paper §3.2, Appendix C.5</t>
  </si>
  <si>
    <t>Infeasible tasks contain requirements that contradict the environment; the record contains only the infeasibility statement and its reason, with no conflict relation</t>
  </si>
  <si>
    <t>Checked WorkArena++ paper Appendix F</t>
  </si>
  <si>
    <t>Field coverage is discussed only qualitatively</t>
  </si>
  <si>
    <t>Checked WorkArena++ paper §3.3</t>
  </si>
  <si>
    <t>An account is created and deleted for each task, which is not within-task rollback</t>
  </si>
  <si>
    <t>32</t>
  </si>
  <si>
    <t>OSWorld</t>
  </si>
  <si>
    <t>OSWorld paper §2.4, §3.1; repository lib_run_single.py</t>
  </si>
  <si>
    <t>Task configurations give the application, and actions are pyautogui code</t>
  </si>
  <si>
    <t>OSWorld repository lib_run_single.py (step_num and action_timestamp in traj.jsonl)</t>
  </si>
  <si>
    <t>Step numbers and timestamps are explicit</t>
  </si>
  <si>
    <t>OSWorld repository lib_run_single.py (step_N_timestamp.png); paper §2.2.1</t>
  </si>
  <si>
    <t>Screenshots are saved step by step, and the initial state is given by the VM snapshot and configuration</t>
  </si>
  <si>
    <t>OSWorld paper §4.1</t>
  </si>
  <si>
    <t>Only the latest 3 observation-action pairs are put into context; there is no dependence field</t>
  </si>
  <si>
    <t>OSWorld paper §2.1, §4.1</t>
  </si>
  <si>
    <t>Coordinates are generated by the model, and their sources are not recorded</t>
  </si>
  <si>
    <t>Checked OSWorld paper §4.1</t>
  </si>
  <si>
    <t>Checked OSWorld paper §2.2.3, §3.2</t>
  </si>
  <si>
    <t>Multiple solutions are absorbed by execution-based evaluation</t>
  </si>
  <si>
    <t>Checked OSWorld paper §3.2</t>
  </si>
  <si>
    <t>No correction stage</t>
  </si>
  <si>
    <t>Checked OSWorld paper §2.2</t>
  </si>
  <si>
    <t>Snapshots are used for resets between tasks; the standard process includes no rollback</t>
  </si>
  <si>
    <t>33</t>
  </si>
  <si>
    <t>ScreenSpot-Pro</t>
  </si>
  <si>
    <t>ScreenSpot-Pro paper Appendix D, Table 1</t>
  </si>
  <si>
    <t>Each record contains the application name</t>
  </si>
  <si>
    <t>Checked ScreenSpot-Pro paper §1, §5, Limitations</t>
  </si>
  <si>
    <t>Single-step grounding, with no event sequence</t>
  </si>
  <si>
    <t>Checked ScreenSpot-Pro paper §1, §5</t>
  </si>
  <si>
    <t>One screenshot per item, with no state change</t>
  </si>
  <si>
    <t>Checked ScreenSpot-Pro paper Limitations</t>
  </si>
  <si>
    <t>Single-step task</t>
  </si>
  <si>
    <t>Checked ScreenSpot-Pro paper §5</t>
  </si>
  <si>
    <t>The output is a click coordinate whose upstream source has no independent analytical significance</t>
  </si>
  <si>
    <t>Checked ScreenSpot-Pro paper §3.3</t>
  </si>
  <si>
    <t>Single-target setting</t>
  </si>
  <si>
    <t>Quality control ensures a unique target</t>
  </si>
  <si>
    <t>Checked the full ScreenSpot-Pro paper</t>
  </si>
  <si>
    <t>Single model</t>
  </si>
  <si>
    <t>No feedback</t>
  </si>
  <si>
    <t>No revision</t>
  </si>
  <si>
    <t>34</t>
  </si>
  <si>
    <t>Windows Agent Arena</t>
  </si>
  <si>
    <t>Windows Agent Arena paper §3.1.2 Table 2, Appendix A.1, Appendix A.4 Table 7</t>
  </si>
  <si>
    <t>Applications, UIA elements with Set-of-Marks numbers, and action APIs are explicit</t>
  </si>
  <si>
    <t>Windows Agent Arena paper Figs. 5–6, Figs. 13–16, Appendix A.7</t>
  </si>
  <si>
    <t>Trajectories are ordered by step; timestamps are not described</t>
  </si>
  <si>
    <t>Windows Agent Arena paper Appendix A.1, §3.3</t>
  </si>
  <si>
    <t>Screenshots are saved step by step, and the initial state is given by the VM snapshot</t>
  </si>
  <si>
    <t>Windows Agent Arena paper Appendix D.1</t>
  </si>
  <si>
    <t>Code of past actions enters the prompt; there is no dependence field</t>
  </si>
  <si>
    <t>Windows Agent Arena paper §4.1, Table 4</t>
  </si>
  <si>
    <t>Element IDs come from several parsers, and which parser produced them is not recorded</t>
  </si>
  <si>
    <t>Checked Windows Agent Arena paper Appendix A.5</t>
  </si>
  <si>
    <t>Difficulty and feasibility are human labels</t>
  </si>
  <si>
    <t>Checked Windows Agent Arena paper §4.2</t>
  </si>
  <si>
    <t>Checked Windows Agent Arena paper §3.3, §4.1</t>
  </si>
  <si>
    <t>Single agent; parallel workers are not handovers</t>
  </si>
  <si>
    <t>Checked Windows Agent Arena paper Appendix D.1</t>
  </si>
  <si>
    <t>The memory block belongs to the agent design</t>
  </si>
  <si>
    <t>Checked Windows Agent Arena paper §3.1.1</t>
  </si>
  <si>
    <t>Initialization scripts are not within-task rollback</t>
  </si>
  <si>
    <t>35</t>
  </si>
  <si>
    <t>OmniACT</t>
  </si>
  <si>
    <t>Checked OmniACT paper §3.1–§3.2, Table 3</t>
  </si>
  <si>
    <t>Each item has only one screenshot, so the source is unique; the record has no per-item application identifier</t>
  </si>
  <si>
    <t>OmniACT paper §3.1, §4.1</t>
  </si>
  <si>
    <t>The line order of the PyAutoGUI script is the action order</t>
  </si>
  <si>
    <t>Checked OmniACT paper §3.2</t>
  </si>
  <si>
    <t>Tasks are confined to a single screen and involve no state change</t>
  </si>
  <si>
    <t>Checked OmniACT paper §4.1</t>
  </si>
  <si>
    <t>No upstream results are passed between script lines</t>
  </si>
  <si>
    <t>OmniACT paper §3.2</t>
  </si>
  <si>
    <t>Coordinates are obtained by reverse-mapping text labels of human-drawn boxes or HTML-extracted boxes, and correspond uniquely</t>
  </si>
  <si>
    <t>Checked OmniACT paper §3.1</t>
  </si>
  <si>
    <t>Task descriptions were rewritten to remove ambiguity</t>
  </si>
  <si>
    <t>No competing information</t>
  </si>
  <si>
    <t>Checked OmniACT paper §7</t>
  </si>
  <si>
    <t>No feedback stage</t>
  </si>
  <si>
    <t>Checked the full OmniACT paper</t>
  </si>
  <si>
    <t>36</t>
  </si>
  <si>
    <t>SafeArena</t>
  </si>
  <si>
    <t>SafeArena paper Appendix E.4.1 Figs. 22–25, Table 13</t>
  </si>
  <si>
    <t>Tasks contain task_id and sites, and BrowserGym observations contain element identifiers</t>
  </si>
  <si>
    <t>SafeArena paper Table 13, Appendix D.2</t>
  </si>
  <si>
    <t>Stored by step, without timestamps</t>
  </si>
  <si>
    <t>SafeArena paper §4.3, Table 13</t>
  </si>
  <si>
    <t>Full trajectories save screenshots and accessibility trees step by step</t>
  </si>
  <si>
    <t>SafeArena paper §3.3, §5.1</t>
  </si>
  <si>
    <t>SafeArena paper §3.3, Fig. 22</t>
  </si>
  <si>
    <t>instantiation_dict holds task-level template parameters; the sources of the agent's action arguments are not recorded</t>
  </si>
  <si>
    <t>Checked SafeArena paper §5.3, §8</t>
  </si>
  <si>
    <t>Agreement coefficients belong to evaluation</t>
  </si>
  <si>
    <t>Checked SafeArena paper §3.4</t>
  </si>
  <si>
    <t>Annotation disagreements are resolved through discussion and do not enter the task record</t>
  </si>
  <si>
    <t>Checked the full SafeArena paper</t>
  </si>
  <si>
    <t>Checked SafeArena paper Figs. 22 and 24</t>
  </si>
  <si>
    <t>The semantics of require_reset are not described; the standard process includes no rollback</t>
  </si>
  <si>
    <t>37</t>
  </si>
  <si>
    <t>MAS-Bench (Mobile GUI)</t>
  </si>
  <si>
    <t>MAS-Bench (mobile) paper §3.2, §3.3, Table 8, Appendix B.3</t>
  </si>
  <si>
    <t>There is no per-step source field, but action names distinguish shortcut calls from GUI operations</t>
  </si>
  <si>
    <t>MAS-Bench (mobile) paper Table 8, Appendix A.5</t>
  </si>
  <si>
    <t>The number of steps and task duration are recorded, and steps are ordered</t>
  </si>
  <si>
    <t>MAS-Bench (mobile) paper Appendices A.1–A.2, §3.1</t>
  </si>
  <si>
    <t>Each trajectory step contains a screenshot and the view hierarchy</t>
  </si>
  <si>
    <t>MAS-Bench (mobile) paper §3.4, Fig. 2</t>
  </si>
  <si>
    <t>Incremental tasks build on earlier tasks, but dependences between steps are not recorded</t>
  </si>
  <si>
    <t>MAS-Bench (mobile) paper Appendix B.3</t>
  </si>
  <si>
    <t>Shortcuts have typed parameters, but the sources of actual values are not described</t>
  </si>
  <si>
    <t>Checked MAS-Bench (mobile) paper §3.7, Appendix D</t>
  </si>
  <si>
    <t>The judge outputs a binary verdict</t>
  </si>
  <si>
    <t>Checked MAS-Bench (mobile) paper Appendix B.4</t>
  </si>
  <si>
    <t>Redundant or irrelevant shortcut calls are derived metrics</t>
  </si>
  <si>
    <t>Checked MAS-Bench (mobile) paper §3.5, §5.2</t>
  </si>
  <si>
    <t>Shortcuts are generated offline by another agent; the execution stage is single-agent</t>
  </si>
  <si>
    <t>Checked MAS-Bench (mobile) paper §3.3, §6</t>
  </si>
  <si>
    <t>The knowledge base is fixed; iterative accumulation is listed as future work</t>
  </si>
  <si>
    <t>Checked MAS-Bench (mobile) paper §3.1</t>
  </si>
  <si>
    <t>Restoring the snapshot after a task is a reset between tasks</t>
  </si>
  <si>
    <t>38</t>
  </si>
  <si>
    <t>LoCoMo</t>
  </si>
  <si>
    <t>LoCoMo repository README (speaker, dia_id); paper §3</t>
  </si>
  <si>
    <t>Each turn records the speaker and dialogue ID</t>
  </si>
  <si>
    <t>LoCoMo repository README (session_&lt;num&gt;_date_time, dia_id); paper Table 5</t>
  </si>
  <si>
    <t>Sessions carry timestamps, and dialogue IDs encode session and turn</t>
  </si>
  <si>
    <t>LoCoMo paper §3.1–§3.2; repository README (events_session_&lt;num&gt;)</t>
  </si>
  <si>
    <t>Persona events evolve over time; event summaries list new events per session without marking version relations of the same fact</t>
  </si>
  <si>
    <t>LoCoMo repository README (qa.evidence); paper §4.1</t>
  </si>
  <si>
    <t>QA items explicitly list the dialogue IDs they rely on</t>
  </si>
  <si>
    <t>Checked LoCoMo paper §3–§5</t>
  </si>
  <si>
    <t>No structured arguments</t>
  </si>
  <si>
    <t>Checked LoCoMo paper §4.1</t>
  </si>
  <si>
    <t>No uncertainty requiring propagation was found</t>
  </si>
  <si>
    <t>Checked LoCoMo paper §3.4, §4.1</t>
  </si>
  <si>
    <t>Adversarial questions are unanswerable questions, and long-range inconsistencies were corrected manually</t>
  </si>
  <si>
    <t>Checked LoCoMo paper §3, §6.2</t>
  </si>
  <si>
    <t>The two speaking agents each have a persona, but there is no task responsibility or handover</t>
  </si>
  <si>
    <t>LoCoMo paper §3.3, Appendix A.2.1; repository README (session_&lt;num&gt;_observation)</t>
  </si>
  <si>
    <t>Persona information changes over long dialogues; observation records add facts per session, without entry identity or before/after validity states</t>
  </si>
  <si>
    <t>Checked the full LoCoMo paper</t>
  </si>
  <si>
    <t>39</t>
  </si>
  <si>
    <t>LongMemEval</t>
  </si>
  <si>
    <t>LongMemEval repository README (haystack_session_ids, has_answer)</t>
  </si>
  <si>
    <t>Session IDs and evidence-turn markers are explicit</t>
  </si>
  <si>
    <t>LongMemEval repository README (haystack_dates, question_date); paper §3.1</t>
  </si>
  <si>
    <t>Both sessions and questions carry timestamps</t>
  </si>
  <si>
    <t>LongMemEval paper §3.2; repository README (has_answer, haystack_dates)</t>
  </si>
  <si>
    <t>In knowledge-update questions the old and new values belong to different evidence sessions; a temporal-order convention that the new value supersedes the old one is required</t>
  </si>
  <si>
    <t>LongMemEval repository README (answer_session_ids)</t>
  </si>
  <si>
    <t>The evidence sessions supporting the answer are listed explicitly</t>
  </si>
  <si>
    <t>Checked LongMemEval paper §3, §5</t>
  </si>
  <si>
    <t>Checked LongMemEval paper §3.2</t>
  </si>
  <si>
    <t>Abstention questions involve false premises, not cross-operation uncertainty</t>
  </si>
  <si>
    <t>LongMemEval paper §3.2, Appendix A.2</t>
  </si>
  <si>
    <t>Knowledge updates make earlier information outdated, creating old/new conflicts whose relation must be recovered by a temporal convention; other conflicts are excluded during construction</t>
  </si>
  <si>
    <t>Checked LongMemEval paper Appendix A.1</t>
  </si>
  <si>
    <t>Self-chat is used only for data construction</t>
  </si>
  <si>
    <t>LongMemEval paper §3.2; repository README</t>
  </si>
  <si>
    <t>Knowledge update is one of the question types; evidence-turn markers give the location of the entry, and before/after states must be recovered by a temporal convention</t>
  </si>
  <si>
    <t>Checked LongMemEval paper ethics statement</t>
  </si>
  <si>
    <t>Only the lack of a deletion operator is discussed; there is no rollback task</t>
  </si>
  <si>
    <t>40</t>
  </si>
  <si>
    <t>MemBench</t>
  </si>
  <si>
    <t>MemBench paper §3.2, Table 2</t>
  </si>
  <si>
    <t>Message IDs are not described; in both participation and observation scenarios, information sources can be uniquely attributed by dialogue role</t>
  </si>
  <si>
    <t>MemBench paper §3.1, Fig. 1</t>
  </si>
  <si>
    <t>Each turn carries a timestamp</t>
  </si>
  <si>
    <t>MemBench paper §3.3, Appendix A.4</t>
  </si>
  <si>
    <t>Knowledge-update questions revise earlier statements, with no version field</t>
  </si>
  <si>
    <t>MemBench paper §3.4, Table 6</t>
  </si>
  <si>
    <t>Key evidence dialogues support the answer, but the paper does not describe an evidence-link field; if the released data contain target step numbers, the code could change to D</t>
  </si>
  <si>
    <t>Checked MemBench paper §3</t>
  </si>
  <si>
    <t>Checked MemBench paper §4</t>
  </si>
  <si>
    <t>MemBench paper Appendix A.4, §4</t>
  </si>
  <si>
    <t>Conflicts appear as in-dialogue corrections, with no conflict labels</t>
  </si>
  <si>
    <t>Checked MemBench paper §3.2, §4.1</t>
  </si>
  <si>
    <t>Single agent; assistant replies are predefined</t>
  </si>
  <si>
    <t>MemBench paper Appendix A.4, Table 3</t>
  </si>
  <si>
    <t>Knowledge updating is what is tested, but there is no record of entry identity or before/after states</t>
  </si>
  <si>
    <t>Checked the full MemBench paper</t>
  </si>
  <si>
    <t>41</t>
  </si>
  <si>
    <t>MemoryAgentBench</t>
  </si>
  <si>
    <t>MemoryAgentBench paper §3.3</t>
  </si>
  <si>
    <t>Information is input in chunks c1...cn, and the source is the chunk it belongs to; there is no chunk-ID field</t>
  </si>
  <si>
    <t>MemoryAgentBench paper §3.3, Fig. 4</t>
  </si>
  <si>
    <t>Chunks are input in temporal order, with no indexing scheme</t>
  </si>
  <si>
    <t>MemoryAgentBench paper §3.1, Appendix B.4.2</t>
  </si>
  <si>
    <t>Facts carry sequence numbers, but which two describe the same object is not marked, so version relations require semantic judgment</t>
  </si>
  <si>
    <t>MemoryAgentBench paper §3.1, Appendix B.1.2</t>
  </si>
  <si>
    <t>Multi-hop questions require combining several pieces of information, but there is no dependence structure</t>
  </si>
  <si>
    <t>Checked MemoryAgentBench paper §3</t>
  </si>
  <si>
    <t>FactConsolidation constructs true/false fact pairs, but the pairing is not marked in the input</t>
  </si>
  <si>
    <t>Checked MemoryAgentBench paper §3.3, Appendix C.3</t>
  </si>
  <si>
    <t>Single-user, single-agent format</t>
  </si>
  <si>
    <t>MemoryAgentBench paper §3.1</t>
  </si>
  <si>
    <t>Conflict resolution and selective forgetting are the tested capabilities, but evaluation looks only at the final answer, with no before/after entry states</t>
  </si>
  <si>
    <t>Checked the full MemoryAgentBench paper</t>
  </si>
  <si>
    <t>42</t>
  </si>
  <si>
    <t>LoCoMo-Plus</t>
  </si>
  <si>
    <t>LoCoMo-Plus paper Appendix C, §4.6</t>
  </si>
  <si>
    <t>Cue dialogues are labeled with speakers A/B and embedded in LoCoMo dialogue trajectories</t>
  </si>
  <si>
    <t>LoCoMo-Plus paper §4.3, Table 6</t>
  </si>
  <si>
    <t>Only the time gap t between cue and trigger is given; the exact position must be recovered from the session times of the host LoCoMo dialogue</t>
  </si>
  <si>
    <t>LoCoMo-Plus paper §3, Fig. 2, Appendix C</t>
  </si>
  <si>
    <t>State- and goal-type constraints may change, with no version record</t>
  </si>
  <si>
    <t>LoCoMo-Plus paper §4.3–§4.6, Table 6</t>
  </si>
  <si>
    <t>Each sample records the dependence of the trigger question on the cue as (c, q, t)</t>
  </si>
  <si>
    <t>Checked LoCoMo-Plus paper §4</t>
  </si>
  <si>
    <t>Checked LoCoMo-Plus paper Limitations</t>
  </si>
  <si>
    <t>LoCoMo-Plus paper Table 6</t>
  </si>
  <si>
    <t>By design, trigger questions conflict or contrast with cues; the conflict itself has no field and must be recovered from relation_type and the pairing convention</t>
  </si>
  <si>
    <t>Multi-agent settings are explicitly excluded</t>
  </si>
  <si>
    <t>Long-term belief revision is explicitly excluded</t>
  </si>
  <si>
    <t>Checked the full LoCoMo-Plus paper</t>
  </si>
  <si>
    <t>43</t>
  </si>
  <si>
    <t>GAIA</t>
  </si>
  <si>
    <t>GAIA paper Table 1, §3.4, Appendix C</t>
  </si>
  <si>
    <t>Annotation metadata list the tools used, and steps state the type of information source</t>
  </si>
  <si>
    <t>GAIA paper Table 1</t>
  </si>
  <si>
    <t>Annotation steps are listed in order, with a step count</t>
  </si>
  <si>
    <t>GAIA paper §3.4</t>
  </si>
  <si>
    <t>Web sources may change, and the paper recommends noting evidence versions, but the record has no corresponding field</t>
  </si>
  <si>
    <t>GAIA paper Table 1, §6</t>
  </si>
  <si>
    <t>Steps are described sequentially in natural language, with no dependence field; evaluation does not check the process</t>
  </si>
  <si>
    <t>Argument sources are only implicit in the natural-language steps</t>
  </si>
  <si>
    <t>Checked GAIA paper §3–§6</t>
  </si>
  <si>
    <t>Checked GAIA paper §3.4, Table 2</t>
  </si>
  <si>
    <t>Annotation disagreements are handled in the validation stage and do not enter the task process</t>
  </si>
  <si>
    <t>Checked GAIA paper Appendix A</t>
  </si>
  <si>
    <t>Checked GAIA paper §5</t>
  </si>
  <si>
    <t>Annual addition and removal of questions belongs to benchmark maintenance</t>
  </si>
  <si>
    <t>Checked the full GAIA paper</t>
  </si>
  <si>
    <t>44</t>
  </si>
  <si>
    <t>AgentBench</t>
  </si>
  <si>
    <t>AgentBench paper Appendices B.3, D.2</t>
  </si>
  <si>
    <t>Actions in each environment are explicit (e.g. KG function names, bash commands)</t>
  </si>
  <si>
    <t>AgentBench paper §4.1, Table 2</t>
  </si>
  <si>
    <t>History alternates as (u0, a0, ..., uk), without timestamps</t>
  </si>
  <si>
    <t>AgentBench paper Appendices B.1, C.1</t>
  </si>
  <si>
    <t>OS and DB states change, but are judged only by final table hashes or check scripts; intermediate states have no identifiers</t>
  </si>
  <si>
    <t>AgentBench paper Appendices D.2, B.1</t>
  </si>
  <si>
    <t>Only the KG environment references variables explicitly as #0, #1; other environments have no dependence field</t>
  </si>
  <si>
    <t>AgentBench paper Appendices D.1–D.2</t>
  </si>
  <si>
    <t>Only KG-environment arguments can be traced to variables; other environments have no source record</t>
  </si>
  <si>
    <t>Checked AgentBench paper §4.1</t>
  </si>
  <si>
    <t>Checked AgentBench paper §3.2</t>
  </si>
  <si>
    <t>Lateral-thinking puzzles involve hypothesis testing, but the record does not distinguish competing hypotheses</t>
  </si>
  <si>
    <t>Checked AgentBench paper §3.2, Appendix A.2</t>
  </si>
  <si>
    <t>The card-game opponent is an algorithm; no responsibility or handover is involved</t>
  </si>
  <si>
    <t>Checked AgentBench paper §2, Appendix C.1</t>
  </si>
  <si>
    <t>Environment feedback in each turn is immediate information; no persistent correction is designed</t>
  </si>
  <si>
    <t>Checked AgentBench paper Appendices B.1, C.1</t>
  </si>
  <si>
    <t>A new container is created for each problem, which is not within-task rollback</t>
  </si>
  <si>
    <t>45</t>
  </si>
  <si>
    <t>AgentBoard</t>
  </si>
  <si>
    <t>AgentBoard paper §2.1, Table 14</t>
  </si>
  <si>
    <t>Each task corresponds to a single environment, and observations and actions alternate by role, so they can be uniquely attributed</t>
  </si>
  <si>
    <t>AgentBoard paper Table 2, Fig. 4, Appendix K.3</t>
  </si>
  <si>
    <t>Steps are numbered and the progress rate is computed at each step</t>
  </si>
  <si>
    <t>AgentBoard paper §2.2, Appendix L.2</t>
  </si>
  <si>
    <t>Subgoal completion status belongs to the evaluator; environment object states have no identifiers</t>
  </si>
  <si>
    <t>AgentBoard paper §2.2, Appendix L.1</t>
  </si>
  <si>
    <t>Subgoals are ordered and are evaluator annotations; dependences between actions are not recorded</t>
  </si>
  <si>
    <t>AgentBoard paper §2.1</t>
  </si>
  <si>
    <t>Sources of action arguments are not recorded</t>
  </si>
  <si>
    <t>Checked AgentBoard paper Tables 6–7</t>
  </si>
  <si>
    <t>Confidence intervals are used only for aggregate metrics</t>
  </si>
  <si>
    <t>Checked AgentBoard paper §3.2</t>
  </si>
  <si>
    <t>Checked AgentBoard paper §2.1</t>
  </si>
  <si>
    <t>Checked AgentBoard paper §2.1, Appendix F</t>
  </si>
  <si>
    <t>Feedback in each turn is immediate information; sliding-window memory is not persistent updating</t>
  </si>
  <si>
    <t>Checked the full AgentBoard paper</t>
  </si>
  <si>
    <t>46</t>
  </si>
  <si>
    <t>AppWorld</t>
  </si>
  <si>
    <t>AppWorld paper §2.1, §2.3, Fig. 2</t>
  </si>
  <si>
    <t>Calls explicitly name the app and API, and tasks specify a supervisor</t>
  </si>
  <si>
    <t>AppWorld paper §3.1, Appendix C</t>
  </si>
  <si>
    <t>Code is recorded in execution order; simulated time is frozen per task and does not serve as the basis for step order</t>
  </si>
  <si>
    <t>AppWorld paper §3.1–§3.2, Appendix D</t>
  </si>
  <si>
    <t>The start state, the final state and row-hashed database diffs are given explicitly</t>
  </si>
  <si>
    <t>AppWorld paper Appendix C, Fig. 7, §5</t>
  </si>
  <si>
    <t>Code cells are stateful and reuse variables; dependences must be recovered by analyzing variable references in the code</t>
  </si>
  <si>
    <t>AppWorld paper Figs. 1, 7 and 8</t>
  </si>
  <si>
    <t>Arguments such as tokens, passwords and product_id are taken from earlier outputs through variables; recovery requires code analysis</t>
  </si>
  <si>
    <t>Checked AppWorld paper Appendix E.7</t>
  </si>
  <si>
    <t>AppWorld paper §3.1, Table 1</t>
  </si>
  <si>
    <t>Expired cards, distractor emails and the like create contradictory information, but the record has no conflict representation</t>
  </si>
  <si>
    <t>Checked AppWorld paper §7</t>
  </si>
  <si>
    <t>Other persons are only simulated data; multi-agent collaboration is listed as future work</t>
  </si>
  <si>
    <t>Checked AppWorld paper §3.2</t>
  </si>
  <si>
    <t>Database writes are world-state changes; no persistent revision of beliefs or intents is designed</t>
  </si>
  <si>
    <t>Checked AppWorld paper §2.2, Appendix D</t>
  </si>
  <si>
    <t>Resets are used for repeated runs and are not within-task rollback</t>
  </si>
  <si>
    <t>47</t>
  </si>
  <si>
    <t>TheAgentCompany</t>
  </si>
  <si>
    <t>TheAgentCompany paper §3, Appendices D, G.2</t>
  </si>
  <si>
    <t>Actions distinguish bash, Python and browser, and chat messages carry colleague names</t>
  </si>
  <si>
    <t>TheAgentCompany paper §4.1, Appendix D Fig. 4</t>
  </si>
  <si>
    <t>Actions and observations are numbered in order; per-step timestamps are not described in the paper</t>
  </si>
  <si>
    <t>TheAgentCompany paper Appendix D</t>
  </si>
  <si>
    <t>Browser observations contain an accessibility tree and screenshot at each step; file and repository states have no version identifiers</t>
  </si>
  <si>
    <t>TheAgentCompany paper §4, Appendix C</t>
  </si>
  <si>
    <t>Checkpoints are evaluation milestones; step dependences are not recorded</t>
  </si>
  <si>
    <t>TheAgentCompany paper Fig. 6, Table 3</t>
  </si>
  <si>
    <t>Argument information comes from colleagues and documents, and its sources are not recorded</t>
  </si>
  <si>
    <t>Checked TheAgentCompany paper Appendix E</t>
  </si>
  <si>
    <t>TheAgentCompany paper Appendix B, Fig. 5</t>
  </si>
  <si>
    <t>Administrative and HR tasks contain traps and budget negotiations, but the record has no conflict representation</t>
  </si>
  <si>
    <t>TheAgentCompany paper §3, §7, Appendix G.2</t>
  </si>
  <si>
    <t>Communication and collaboration with simulated colleagues is required, but colleagues' commitment or division-of-labor states are not recorded</t>
  </si>
  <si>
    <t>Checked TheAgentCompany paper Appendix C</t>
  </si>
  <si>
    <t>No persistent correction or revision stage</t>
  </si>
  <si>
    <t>Checked TheAgentCompany paper §4, Appendix F</t>
  </si>
  <si>
    <t>The environment includes GitLab, but the standard process does not require history recovery</t>
  </si>
  <si>
    <t>48</t>
  </si>
  <si>
    <t>CRMArena</t>
  </si>
  <si>
    <t>CRMArena paper §2.4, Table 7, Appendix C</t>
  </si>
  <si>
    <t>Actions are SOQL/SOSL queries or wrapper functions, with explicit object types</t>
  </si>
  <si>
    <t>CRMArena paper §3.1, Appendix E</t>
  </si>
  <si>
    <t>execute and submit actions are recorded in order</t>
  </si>
  <si>
    <t>Checked CRMArena paper §3.1, Appendix E</t>
  </si>
  <si>
    <t>Actions are mainly read-only queries; no object state changes were found</t>
  </si>
  <si>
    <t>CRMArena paper §3.3, Table 15</t>
  </si>
  <si>
    <t>Functions are divided into dependent and independent types, and call dependences can be recovered by matching record-ID values</t>
  </si>
  <si>
    <t>CRMArena paper §2.3, §3.3</t>
  </si>
  <si>
    <t>Record IDs in arguments can be traced to earlier query results, but this requires value matching</t>
  </si>
  <si>
    <t>Checked CRMArena paper §2.3</t>
  </si>
  <si>
    <t>Unanswerable questions require outputting None; there is no cross-step uncertainty</t>
  </si>
  <si>
    <t>Checked CRMArena paper §2.2–§2.3</t>
  </si>
  <si>
    <t>Checked CRMArena paper §2.1</t>
  </si>
  <si>
    <t>Roles are only task categories; case assignment is the task answer, not part of the process</t>
  </si>
  <si>
    <t>Checked CRMArena paper §3.1</t>
  </si>
  <si>
    <t>Read-only queries, with no persistent updating</t>
  </si>
  <si>
    <t>No write operations</t>
  </si>
  <si>
    <t>49</t>
  </si>
  <si>
    <t>MultiAgentBench</t>
  </si>
  <si>
    <t>MultiAgentBench paper §3.1, §3.3, Appendix A.5.3</t>
  </si>
  <si>
    <t>Agents are numbered nodes, milestones are credited to contributing agents, and Werewolf keeps per-agent event logs; message-level sender/receiver fields are not described in the paper</t>
  </si>
  <si>
    <t>MultiAgentBench paper §4.1, Appendix A.5.3</t>
  </si>
  <si>
    <t>Numbered by iteration round and by day/night round</t>
  </si>
  <si>
    <t>MultiAgentBench paper Appendices A.2, A.5.3</t>
  </si>
  <si>
    <t>Shared memory and environment states change without version identifiers; Werewolf has saved records but no version relations</t>
  </si>
  <si>
    <t>MultiAgentBench paper §3.1.1</t>
  </si>
  <si>
    <t>The coordination topology specifies communication relations; step-level dependences are not recorded</t>
  </si>
  <si>
    <t>MultiAgentBench paper Appendix A.5</t>
  </si>
  <si>
    <t>In Werewolf, identities are hidden and judgments about others' identities must be maintained across rounds, but the record has no uncertainty representation</t>
  </si>
  <si>
    <t>MultiAgentBench paper §3.2, Appendix A.5</t>
  </si>
  <si>
    <t>Werewolf and bargaining are adversarial settings, but the record has no representation of conflict relations</t>
  </si>
  <si>
    <t>MultiAgentBench paper §3.1.1, §3.3, Appendix A.5.6</t>
  </si>
  <si>
    <t>The planner assigns tasks and executors complete them; assignments appear only in natural-language messages, while milestone attribution and badge handover are recorded</t>
  </si>
  <si>
    <t>MultiAgentBench paper §3.1.1, Appendix A.2</t>
  </si>
  <si>
    <t>Self-evolving planning compares expected and actual outcomes and updates the plan, with no before/after entry states</t>
  </si>
  <si>
    <t>Checked the full MultiAgentBench paper</t>
  </si>
  <si>
    <t>50</t>
  </si>
  <si>
    <t>Who&amp;When</t>
  </si>
  <si>
    <t>Who&amp;When paper §3, Appendix G.1; case package K01 (headings of the record units in the execution history)</t>
  </si>
  <si>
    <t>Each record unit states the agent name and role</t>
  </si>
  <si>
    <t>Who&amp;When paper §2, Appendix A.1</t>
  </si>
  <si>
    <t>Logs are numbered l1...ln, and the decisive error step is annotated by number</t>
  </si>
  <si>
    <t>Who&amp;When paper §2</t>
  </si>
  <si>
    <t>The shared task state advances with the dialogue, with no state or version identifiers</t>
  </si>
  <si>
    <t>Counterfactual intervention is an analysis method; logs have no dependence field</t>
  </si>
  <si>
    <t>Who&amp;When paper §3.1</t>
  </si>
  <si>
    <t>Tool-call arguments are written in code blocks, and their sources are not recorded</t>
  </si>
  <si>
    <t>Checked Who&amp;When paper §2–§3</t>
  </si>
  <si>
    <t>Tasks come from GAIA and AssistantBench; no requirement for uncertainty representations maintained across steps was found</t>
  </si>
  <si>
    <t>Who&amp;When paper §3; case package K01</t>
  </si>
  <si>
    <t>Contradictory conclusions often arise among the agents, but logs have no conflict representation</t>
  </si>
  <si>
    <t>Who&amp;When paper §2, §3; case package K01</t>
  </si>
  <si>
    <t>Message attribution is explicit, and handovers can be uniquely recovered from the speakers of adjacent record units; commitment state is not recorded</t>
  </si>
  <si>
    <t>Who&amp;When paper §3.1; case package K01 (Verification_Expert role)</t>
  </si>
  <si>
    <t>The system includes verification and correction roles, but correction events have no entry identity or before/after states</t>
  </si>
  <si>
    <t>Checked the full Who&amp;When paper</t>
  </si>
  <si>
    <t>51</t>
  </si>
  <si>
    <t>TraceElephant</t>
  </si>
  <si>
    <t>TraceElephant paper §3.3, Appendices A.3–A.4</t>
  </si>
  <si>
    <t>Each step records agent_id, agent_name and tool logs</t>
  </si>
  <si>
    <t>TraceElephant paper §3.3, Appendix A.3</t>
  </si>
  <si>
    <t>step_id gives the global execution order</t>
  </si>
  <si>
    <t>TraceElephant paper Appendix A.2</t>
  </si>
  <si>
    <t>Runs have IDs, but environment states have no version identifiers</t>
  </si>
  <si>
    <t>TraceElephant paper §3.3</t>
  </si>
  <si>
    <t>Each step saves the full input_context, so content can be traced back by text matching to the earlier step that produced it</t>
  </si>
  <si>
    <t>Tool arguments are recorded with tool_logs, and their sources must be matched against input_context</t>
  </si>
  <si>
    <t>Checked TraceElephant paper §3</t>
  </si>
  <si>
    <t>No requirement for uncertainty representation was found</t>
  </si>
  <si>
    <t>TraceElephant paper §2, §3.3</t>
  </si>
  <si>
    <t>There is no conflict representation when agents reach contradictory conclusions</t>
  </si>
  <si>
    <t>Per-step attribution is explicit, and handovers can be uniquely recovered from the agents of adjacent steps; commitment state is not recorded</t>
  </si>
  <si>
    <t>TraceElephant paper §2</t>
  </si>
  <si>
    <t>Attribution rules consider the verifier's remedial responsibility, but correction events have no before/after entry states</t>
  </si>
  <si>
    <t>Checked TraceElephant paper Appendix A.6.3</t>
  </si>
  <si>
    <t>Replay intervention is an analysis method</t>
  </si>
  <si>
    <t>52</t>
  </si>
  <si>
    <t>MAS-BENCH (Distributed Sorting)</t>
  </si>
  <si>
    <t>MAS-BENCH (distributed sorting) paper §3.1, Appendices E.1–E.3</t>
  </si>
  <si>
    <t>Messages contain sender_id and receiver_id; key-value writes have no writer field</t>
  </si>
  <si>
    <t>MAS-BENCH (distributed sorting) paper §3.4, Appendices E.1, E.4</t>
  </si>
  <si>
    <t>Execution proceeds in synchronous rounds and the key-value table has timestamps; a per-record round index is not described</t>
  </si>
  <si>
    <t>MAS-BENCH (distributed sorting) paper Appendix E.4</t>
  </si>
  <si>
    <t>The key-value store is last-write-wins, with no version numbers, and old values are not kept</t>
  </si>
  <si>
    <t>MAS-BENCH (distributed sorting) paper Appendices E.1, E.4, F.6</t>
  </si>
  <si>
    <t>Writes in round r take effect in round r+1; causal dependences between messages are not recorded</t>
  </si>
  <si>
    <t>MAS-BENCH (distributed sorting) paper Appendix E</t>
  </si>
  <si>
    <t>Sources of written and sent values are not recorded</t>
  </si>
  <si>
    <t>Checked MAS-BENCH (distributed sorting) paper §5</t>
  </si>
  <si>
    <t>MAS-BENCH (distributed sorting) paper §5.3, Appendix E.4</t>
  </si>
  <si>
    <t>Stale reads, key overwrites and inconsistent conventions constitute conflicts, but the record has no conflict representation</t>
  </si>
  <si>
    <t>MAS-BENCH (distributed sorting) paper Appendices E.3–E.4, Table 5, Appendix D.2</t>
  </si>
  <si>
    <t>submit_result sets each agent's slot and creates a submission marker file; submission is the final commitment</t>
  </si>
  <si>
    <t>Shared keys identify entries by key name, and previous values are not kept when overwritten</t>
  </si>
  <si>
    <t>Checked MAS-BENCH (distributed sorting) paper Appendix E.4, Algorithm 3</t>
  </si>
  <si>
    <t>Phase resets are not rollback</t>
  </si>
  <si>
    <t>53</t>
  </si>
  <si>
    <t>Market-Bench</t>
  </si>
  <si>
    <t>Market-Bench paper §3.1, §3.6, Table 6</t>
  </si>
  <si>
    <t>Logs are recorded per step and per agent</t>
  </si>
  <si>
    <t>Market-Bench paper §4.1, Appendix A</t>
  </si>
  <si>
    <t>Step t and bidding round r are explicit</t>
  </si>
  <si>
    <t>Market-Bench paper §3.1, §3.6</t>
  </si>
  <si>
    <t>Funds and inventory are recorded for each agent at each step</t>
  </si>
  <si>
    <t>Market-Bench paper Eq. 4, Appendix A step d</t>
  </si>
  <si>
    <t>Funds constrain bids and transactions update inventory and funds; dependences are given deterministically by market rules</t>
  </si>
  <si>
    <t>Market-Bench paper Eq. 3, Appendices B.1–B.2</t>
  </si>
  <si>
    <t>Bids and prices come from the model's JSON output, and their sources are not recorded</t>
  </si>
  <si>
    <t>Market-Bench paper §3.1, §3.3</t>
  </si>
  <si>
    <t>Buyer personas are hidden and demand is random, but agents have no propagable uncertainty representation</t>
  </si>
  <si>
    <t>Market-Bench paper §3.2, §3.6</t>
  </si>
  <si>
    <t>Competing bids and allocation results in auctions are recorded step by step</t>
  </si>
  <si>
    <t>Checked Market-Bench paper §2.1, §3.2</t>
  </si>
  <si>
    <t>There are budget constraints and bankruptcy, but no contract or delivery commitments</t>
  </si>
  <si>
    <t>Market-Bench paper §3.6, Appendix A step b</t>
  </si>
  <si>
    <t>Agents rebid based on the previous round's results; bids are recorded per round by agent and item, so before/after values correspond uniquely</t>
  </si>
  <si>
    <t>Checked the full Market-Bench paper</t>
  </si>
  <si>
    <t>54</t>
  </si>
  <si>
    <t>LiveCultureBench</t>
  </si>
  <si>
    <t>LiveCultureBench paper §2.1–§2.2, Listing 6</t>
  </si>
  <si>
    <t>Agent numbers, location nodes and norm IDs are explicit</t>
  </si>
  <si>
    <t>LiveCultureBench paper §2.1</t>
  </si>
  <si>
    <t>Step t corresponds to the simulation clock</t>
  </si>
  <si>
    <t>LiveCultureBench paper §2.3, §2.7</t>
  </si>
  <si>
    <t>Global state consists of the clock, locations, memory and subtask progress, and logs save location trajectories and memory records</t>
  </si>
  <si>
    <t>LiveCultureBench paper Listing 5, §2.6.1</t>
  </si>
  <si>
    <t>Subtask order belongs to the goal plan; dependences between actions are not recorded</t>
  </si>
  <si>
    <t>Checked LiveCultureBench paper §2</t>
  </si>
  <si>
    <t>Sources of action arguments have no independent analytical significance</t>
  </si>
  <si>
    <t>Checked LiveCultureBench paper §2.6.2</t>
  </si>
  <si>
    <t>Conformal calibration belongs to the evaluator</t>
  </si>
  <si>
    <t>LiveCultureBench paper §2.5, §3.3</t>
  </si>
  <si>
    <t>Auxiliary agents induce violations and goals conflict with norms, but the record has no conflict representation</t>
  </si>
  <si>
    <t>LiveCultureBench paper §2.2, §2.5</t>
  </si>
  <si>
    <t>Multi-agent social simulation; commitments between agents are not recorded</t>
  </si>
  <si>
    <t>Checked LiveCultureBench paper §2.3</t>
  </si>
  <si>
    <t>Plans are fixed at initialization, with no replanning</t>
  </si>
  <si>
    <t>Checked the full LiveCultureBench paper</t>
  </si>
  <si>
    <t>55</t>
  </si>
  <si>
    <t>AgentHarm</t>
  </si>
  <si>
    <t>AgentHarm paper §3.1.2, Figs. 2 and 4</t>
  </si>
  <si>
    <t>Tool calls in logs contain function names</t>
  </si>
  <si>
    <t>AgentHarm paper Fig. 4, Figs. 20–23</t>
  </si>
  <si>
    <t>Messages and calls are recorded in order, without step numbers</t>
  </si>
  <si>
    <t>Checked AgentHarm paper §3.1.2</t>
  </si>
  <si>
    <t>Synthetic tools are side-effect-free functions</t>
  </si>
  <si>
    <t>AgentHarm paper §3.1.1, Fig. 2</t>
  </si>
  <si>
    <t>Behaviors require sequential calls with earlier outputs used by later ones, but logs have no dependence field, so value matching is required</t>
  </si>
  <si>
    <t>AgentHarm paper Figs. 2 and 14, §3.1.2</t>
  </si>
  <si>
    <t>The grader compares arguments with expected literal values and does not track argument sources</t>
  </si>
  <si>
    <t>Checked AgentHarm paper §4.1</t>
  </si>
  <si>
    <t>Checked AgentHarm paper Appendix A, §5</t>
  </si>
  <si>
    <t>Tools have no side effects, so there is no persistent updating</t>
  </si>
  <si>
    <t>Checked the full AgentHarm paper</t>
  </si>
  <si>
    <t>No state revision</t>
  </si>
  <si>
    <t>56</t>
  </si>
  <si>
    <t>ASB</t>
  </si>
  <si>
    <t>ASB paper Table 3</t>
  </si>
  <si>
    <t>Normal tools and attack tools are listed separately, so the source of an action can be uniquely determined by tool name; injected content comes from user prompts, tool observations or memory, with no per-item source label in the record</t>
  </si>
  <si>
    <t>ASB paper, example trajectory</t>
  </si>
  <si>
    <t>Steps are written only in natural language as "At step 1" and can be recovered by order</t>
  </si>
  <si>
    <t>ASB paper, memory-poisoning section</t>
  </si>
  <si>
    <t>The memory store contains poisoned records, with no version or time information</t>
  </si>
  <si>
    <t>ASB paper, plan-format description</t>
  </si>
  <si>
    <t>Plans are ordered steps containing a tool field, with no dependence links</t>
  </si>
  <si>
    <t>ASB paper (the authors state that tool parameters are not set)</t>
  </si>
  <si>
    <t>Whether tool inputs come from injected content cannot be traced</t>
  </si>
  <si>
    <t>Checked the full ASB paper</t>
  </si>
  <si>
    <t>ASB paper, attack-definition section</t>
  </si>
  <si>
    <t>User instructions and injected instructions compete, but the record has no conflict representation</t>
  </si>
  <si>
    <t>Checked ASB paper, memory-attack section</t>
  </si>
  <si>
    <t>It is only mentioned that other agents may share the memory store</t>
  </si>
  <si>
    <t>Memory is written after a task and poisoned plans remain in effect, with no entry identity or before/after states</t>
  </si>
  <si>
    <t>57</t>
  </si>
  <si>
    <t>CI-Work</t>
  </si>
  <si>
    <t>CI-Work paper §4.4, Appendix I</t>
  </si>
  <si>
    <t>Retrieval results are labeled by source ([Email], [Slack], etc.), and senders and recipients are taken from seed fields</t>
  </si>
  <si>
    <t>CI-Work paper §3</t>
  </si>
  <si>
    <t>Step t is an action-observation pair; trajectories are recorded in order, without timestamps</t>
  </si>
  <si>
    <t>Checked CI-Work paper §3, §4.4</t>
  </si>
  <si>
    <t>Retrieval is read-only; no object state changes were found</t>
  </si>
  <si>
    <t>CI-Work paper §3, Appendix H</t>
  </si>
  <si>
    <t>The final message depends on retrieval results, but the record has no dependence field</t>
  </si>
  <si>
    <t>CI-Work paper §4.4, Appendix H Fig. 17</t>
  </si>
  <si>
    <t>Which retrieval result the information in an outgoing message came from is judged by the judge model and is not tracked in the record</t>
  </si>
  <si>
    <t>Checked CI-Work paper §4.2, Appendix D</t>
  </si>
  <si>
    <t>The "Ambiguous" label belongs to the self-correction method</t>
  </si>
  <si>
    <t>CI-Work paper §5.1, Appendix E</t>
  </si>
  <si>
    <t>Task utility and privacy norms conflict, but the record has no conflict representation</t>
  </si>
  <si>
    <t>Checked CI-Work paper §2</t>
  </si>
  <si>
    <t>Single agent; multiple parties appear only as sender, recipient and data subject</t>
  </si>
  <si>
    <t>Persistent memory appears only in related work</t>
  </si>
  <si>
    <t>Checked the full CI-Work paper</t>
  </si>
  <si>
    <t>58</t>
  </si>
  <si>
    <t>SWE-bench</t>
  </si>
  <si>
    <t>SWE-bench paper Table 9, Appendix A.2, Fig. 7</t>
  </si>
  <si>
    <t>repo, instance_id and base_commit are explicit</t>
  </si>
  <si>
    <t>SWE-bench paper Table 9, §4.2</t>
  </si>
  <si>
    <t>The solving process consists of ordered operations, but the default record contains only the final patch and created_at</t>
  </si>
  <si>
    <t>SWE-bench paper Table 9, Appendices A.2–A.3</t>
  </si>
  <si>
    <t>base_commit, environment_setup_commit, version and the patch diff give the before/after states</t>
  </si>
  <si>
    <t>SWE-bench paper Table 9</t>
  </si>
  <si>
    <t>FAIL_TO_PASS and PASS_TO_PASS belong to evaluation; dependences between solving steps are not recorded</t>
  </si>
  <si>
    <t>Checked SWE-bench paper §4</t>
  </si>
  <si>
    <t>The output is a code patch, with no structured action arguments</t>
  </si>
  <si>
    <t>Checked the full SWE-bench paper</t>
  </si>
  <si>
    <t>Checked SWE-bench paper §5</t>
  </si>
  <si>
    <t>Checked SWE-bench paper §7</t>
  </si>
  <si>
    <t>Single-model generation</t>
  </si>
  <si>
    <t>Checked SWE-bench paper §2.3</t>
  </si>
  <si>
    <t>Adding instances belongs to benchmark maintenance</t>
  </si>
  <si>
    <t>SWE-bench paper Appendices A.2, A.4</t>
  </si>
  <si>
    <t>Code revisions are recorded as base_commit plus a patch diff, so the pre-modification version can be returned to directly</t>
  </si>
  <si>
    <t>59</t>
  </si>
  <si>
    <t>SWE-bench Multimodal</t>
  </si>
  <si>
    <t>SWE-bench Multimodal paper §2.2–§2.3, Appendix A.2</t>
  </si>
  <si>
    <t>Instances come from specific repositories, and images and resources in issues are downloaded and saved</t>
  </si>
  <si>
    <t>SWE-bench Multimodal paper §4.1</t>
  </si>
  <si>
    <t>The default record consists of tasks and patches; the paper does not confirm that agent trajectories are released</t>
  </si>
  <si>
    <t>SWE-bench Multimodal paper §2.1–§2.3</t>
  </si>
  <si>
    <t>Follows SWE-bench's base-commit and patch format; the paper does not explicitly name a base_commit field</t>
  </si>
  <si>
    <t>SWE-bench Multimodal paper §2.1, §2.3</t>
  </si>
  <si>
    <t>Tests belong to evaluation; step dependences are not recorded</t>
  </si>
  <si>
    <t>Checked SWE-bench Multimodal paper §2</t>
  </si>
  <si>
    <t>The output is a code patch</t>
  </si>
  <si>
    <t>Checked SWE-bench Multimodal paper Appendix B.2</t>
  </si>
  <si>
    <t>Test-stability screening is not part of the task process</t>
  </si>
  <si>
    <t>Checked the full SWE-bench Multimodal paper</t>
  </si>
  <si>
    <t>Checked SWE-bench Multimodal paper §4</t>
  </si>
  <si>
    <t>No persistent correction stage</t>
  </si>
  <si>
    <t>SWE-bench Multimodal paper §2.1, Appendix C.1</t>
  </si>
  <si>
    <t>Patches are recorded relative to the base code; SWE-agent JS edit rollback exists only inside the agent</t>
  </si>
  <si>
    <t>60</t>
  </si>
  <si>
    <t>SWE-Lancer</t>
  </si>
  <si>
    <t>SWE-Lancer paper §2, Appendix A.13</t>
  </si>
  <si>
    <t>Tasks contain Upwork job links and IDs, and the code comes from the Expensify repository</t>
  </si>
  <si>
    <t>SWE-Lancer paper Appendix A.5, Appendices A.8–A.10</t>
  </si>
  <si>
    <t>The paper does not state that step-level trajectories are released; only user-tool traces carry timestamps</t>
  </si>
  <si>
    <t>SWE-Lancer paper §2</t>
  </si>
  <si>
    <t>Each IC task starts from the pre-fix code checkpoint, and the output is a patch</t>
  </si>
  <si>
    <t>End-to-end tests belong to evaluation; step dependences are not recorded</t>
  </si>
  <si>
    <t>Checked SWE-Lancer paper §2, Appendix A.8</t>
  </si>
  <si>
    <t>The output is a patch or a proposal number</t>
  </si>
  <si>
    <t>Checked SWE-Lancer paper §3.6</t>
  </si>
  <si>
    <t>SWE-Lancer paper §1, §2, Appendix A.8</t>
  </si>
  <si>
    <t>Management tasks present 4–5 competing proposals, and one is selected by ID</t>
  </si>
  <si>
    <t>Checked SWE-Lancer paper §3.1</t>
  </si>
  <si>
    <t>Single agent, single attempt</t>
  </si>
  <si>
    <t>Checked SWE-Lancer paper §2</t>
  </si>
  <si>
    <t>Patches are recorded relative to the pre-fix checkpoint, so the pre-modification version can be returned to</t>
  </si>
  <si>
    <t>61</t>
  </si>
  <si>
    <t>ITBench</t>
  </si>
  <si>
    <t>ITBench paper §3.1, §3.3</t>
  </si>
  <si>
    <t>Alert names, services and Kubernetes entities, and observability data sources are explicit</t>
  </si>
  <si>
    <t>ITBench paper §3.2, Appendix C.3</t>
  </si>
  <si>
    <t>Observations and actions are recorded in order; per-step timestamps are not described</t>
  </si>
  <si>
    <t>ITBench paper §3.2, §3.4</t>
  </si>
  <si>
    <t>Environment state snapshots are mentioned, but step-level saving or version relations are not described</t>
  </si>
  <si>
    <t>ITBench paper §3.1, §4.2</t>
  </si>
  <si>
    <t>Gold answers contain fault-propagation chains and use system and application topology</t>
  </si>
  <si>
    <t>ITBench paper §3.3</t>
  </si>
  <si>
    <t>Arguments of commands such as kubectl are generated by the model, and their sources are not recorded</t>
  </si>
  <si>
    <t>ITBench paper Appendix C.1, §4.4</t>
  </si>
  <si>
    <t>Fault diagnosis requires maintaining uncertain judgments under multiple alerts, but the record has no uncertainty representation</t>
  </si>
  <si>
    <t>ITBench paper Appendix C.1</t>
  </si>
  <si>
    <t>Competing root causes exist in multi-fault alert storms, but the record has no representation of competing hypotheses</t>
  </si>
  <si>
    <t>Checked ITBench paper §3.3, §5</t>
  </si>
  <si>
    <t>Single agent; multi-agent settings are listed as future work</t>
  </si>
  <si>
    <t>Checked ITBench paper §4.2</t>
  </si>
  <si>
    <t>Mitigation actions are environment modifications; no persistent revision of beliefs or plans is designed</t>
  </si>
  <si>
    <t>ITBench paper Appendices C.3, B.3</t>
  </si>
  <si>
    <t>Mitigation operations may need to be undone, but the record contains no undo or rollback information for individual operations; the scenario is restored as a whole after it ends</t>
  </si>
  <si>
    <t>62</t>
  </si>
  <si>
    <t>Terminal-Bench</t>
  </si>
  <si>
    <t>Terminal-Bench paper §3.1, §4.5</t>
  </si>
  <si>
    <t>Trajectories record terminal commands and their outputs</t>
  </si>
  <si>
    <t>Terminal-Bench paper §4.1, §4.5, Fig. 3</t>
  </si>
  <si>
    <t>Command input/output pairs are saved in order; no step numbers or timestamps were found</t>
  </si>
  <si>
    <t>Terminal-Bench paper §2.1, §3.4</t>
  </si>
  <si>
    <t>Tests check only the final container state; intermediate states have no identifiers</t>
  </si>
  <si>
    <t>Terminal-Bench paper §4.5</t>
  </si>
  <si>
    <t>Terminal-Bench paper §3.1</t>
  </si>
  <si>
    <t>Sources of command arguments are not recorded</t>
  </si>
  <si>
    <t>Checked Terminal-Bench paper Appendix B.5</t>
  </si>
  <si>
    <t>Checked the full Terminal-Bench paper</t>
  </si>
  <si>
    <t>Checked Terminal-Bench paper Appendix C</t>
  </si>
  <si>
    <t>Checked Terminal-Bench paper §4.2</t>
  </si>
  <si>
    <t>Checked Terminal-Bench paper §2.3</t>
  </si>
  <si>
    <t>Deleting future commits belongs to task design</t>
  </si>
  <si>
    <t>63</t>
  </si>
  <si>
    <t>SUPER</t>
  </si>
  <si>
    <t>SUPER paper §3, Appendices C.1, E</t>
  </si>
  <si>
    <t>Each trajectory step is (thought, action, observation), with explicit action types</t>
  </si>
  <si>
    <t>SUPER paper Appendix C.1</t>
  </si>
  <si>
    <t>History is concatenated step by step; step numbers are not described</t>
  </si>
  <si>
    <t>SUPER paper §3, §3.1.1</t>
  </si>
  <si>
    <t>Notebook state persists across cells and expert solutions record repository commit hashes; intermediate states must be recovered by replaying cells</t>
  </si>
  <si>
    <t>SUPER paper §3.2</t>
  </si>
  <si>
    <t>Masked subproblems pre-execute only the prefix cells that do not depend on the masked block; dependences must be inferred from the gold notebook</t>
  </si>
  <si>
    <t>SUPER paper Appendix E</t>
  </si>
  <si>
    <t>Sources of edit and command arguments are not recorded</t>
  </si>
  <si>
    <t>Checked SUPER paper §3</t>
  </si>
  <si>
    <t>Checked SUPER paper §3–§4</t>
  </si>
  <si>
    <t>Checked SUPER paper §4</t>
  </si>
  <si>
    <t>Checked SUPER paper Appendix E</t>
  </si>
  <si>
    <t>Edit actions are not recorded as diffs, and the standard process does not require rollback</t>
  </si>
  <si>
    <t>64</t>
  </si>
  <si>
    <t>CORE-Bench</t>
  </si>
  <si>
    <t>CORE-Bench paper Appendices A.2, D.3</t>
  </si>
  <si>
    <t>Tasks come from named CodeOcean capsules, and trajectories contain actions step by step</t>
  </si>
  <si>
    <t>CORE-Bench paper Appendices D.3.1–D.3.4</t>
  </si>
  <si>
    <t>Trajectories are numbered Step 1...Step N</t>
  </si>
  <si>
    <t>CORE-Bench paper §3, Appendix B</t>
  </si>
  <si>
    <t>Each task starts from a reset environment; process states have no identifiers</t>
  </si>
  <si>
    <t>CORE-Bench paper Appendices D.3.2–D.3.3</t>
  </si>
  <si>
    <t>CORE-Bench paper Appendix D.3</t>
  </si>
  <si>
    <t>Checked CORE-Bench paper Fig. 4</t>
  </si>
  <si>
    <t>Prediction intervals are used for grading</t>
  </si>
  <si>
    <t>Checked CORE-Bench paper Appendix D.3.2</t>
  </si>
  <si>
    <t>Inconsistencies between README and Docker instructions appear only in isolated cases</t>
  </si>
  <si>
    <t>Checked CORE-Bench paper §3</t>
  </si>
  <si>
    <t>Checked CORE-Bench paper §4.7</t>
  </si>
  <si>
    <t>Checked CORE-Bench paper Appendix B</t>
  </si>
  <si>
    <t>Resets and resumed runs are not within-task rollback</t>
  </si>
  <si>
    <t>65</t>
  </si>
  <si>
    <t>ScienceAgentBench</t>
  </si>
  <si>
    <t>ScienceAgentBench paper §2.1, §3</t>
  </si>
  <si>
    <t>Input sources (instruction, dataset information, expert knowledge) are given in separate fields, and the program output has a unique source</t>
  </si>
  <si>
    <t>ScienceAgentBench paper §3</t>
  </si>
  <si>
    <t>Self-debugging proceeds in rounds; the log format is not described</t>
  </si>
  <si>
    <t>Programs are revised several times during self-debugging, but the paper does not state that each version is saved</t>
  </si>
  <si>
    <t>Checked ScienceAgentBench paper §2.1</t>
  </si>
  <si>
    <t>The output is a complete program</t>
  </si>
  <si>
    <t>Checked ScienceAgentBench paper §2.3, Appendix E.1</t>
  </si>
  <si>
    <t>Checked ScienceAgentBench paper §4.1</t>
  </si>
  <si>
    <t>Checked ScienceAgentBench paper §3</t>
  </si>
  <si>
    <t>The self-debugging framework revises programs based on execution feedback, but the before/after versions are not recorded</t>
  </si>
  <si>
    <t>66</t>
  </si>
  <si>
    <t>PaperBench</t>
  </si>
  <si>
    <t>PaperBench paper Appendix F.1, §2.5</t>
  </si>
  <si>
    <t>The tool-call loop is produced by a single agent; the log format is not described</t>
  </si>
  <si>
    <t>PaperBench paper Appendix F.1, §5.2</t>
  </si>
  <si>
    <t>No step numbers; logs are ordered, and long runs also have hourly snapshots</t>
  </si>
  <si>
    <t>PaperBench paper §2.1, §2.2, Appendix F.3</t>
  </si>
  <si>
    <t>Submissions are git repositories; whether commit history and intermediate states are retained is not described</t>
  </si>
  <si>
    <t>PaperBench paper §2.3, Appendix A.1</t>
  </si>
  <si>
    <t>The order of child nodes in the grading tree implies dependences, but the authors do not specify them; dependences between process steps are not recorded</t>
  </si>
  <si>
    <t>Checked PaperBench paper §2</t>
  </si>
  <si>
    <t>The output is a code repository</t>
  </si>
  <si>
    <t>Checked PaperBench paper §4.2, §7</t>
  </si>
  <si>
    <t>Judge uncertainty belongs to the evaluator</t>
  </si>
  <si>
    <t>Checked PaperBench paper §2.5, §5.2</t>
  </si>
  <si>
    <t>Checked PaperBench paper §6</t>
  </si>
  <si>
    <t>Checked PaperBench paper Appendix F.1</t>
  </si>
  <si>
    <t>Context truncation is not persistent updating</t>
  </si>
  <si>
    <t>Checked PaperBench paper §2.2, Appendix F.3</t>
  </si>
  <si>
    <t>Reruns occur on a fresh virtual machine and involve no rollback</t>
  </si>
  <si>
    <t>67</t>
  </si>
  <si>
    <t>RExBench</t>
  </si>
  <si>
    <t>RExBench paper §3.1–§3.2, Appendix D</t>
  </si>
  <si>
    <t>Tasks provide the paper and the original codebase, and logs record tool types</t>
  </si>
  <si>
    <t>RExBench paper §3.5, Table 5</t>
  </si>
  <si>
    <t>The number of turns is reported; logs are ordered, without step numbers</t>
  </si>
  <si>
    <t>RExBench paper §3.5, §4.1.1</t>
  </si>
  <si>
    <t>Modifications are submitted as git patches and applied to the original codebase; the paper does not state the base commit hash</t>
  </si>
  <si>
    <t>RExBench paper §3.5</t>
  </si>
  <si>
    <t>Checked RExBench paper §3–§4</t>
  </si>
  <si>
    <t>Checked RExBench paper §3.4</t>
  </si>
  <si>
    <t>Multi-seed result ranges are used for grading</t>
  </si>
  <si>
    <t>Checked RExBench paper §4</t>
  </si>
  <si>
    <t>Checked RExBench paper §4.1</t>
  </si>
  <si>
    <t>Checked RExBench paper §3.5</t>
  </si>
  <si>
    <t>Patches are relative to the original codebase; the pre-modification version can be returned to only after the base commit is determined by repository convention</t>
  </si>
  <si>
    <t>68</t>
  </si>
  <si>
    <t>DataSciBench</t>
  </si>
  <si>
    <t>DataSciBench paper Appendix B.1</t>
  </si>
  <si>
    <t>Each step record carries task_id and task_type</t>
  </si>
  <si>
    <t>Steps are identified by task_id and executed according to dependences</t>
  </si>
  <si>
    <t>DataSciBench paper §3.1</t>
  </si>
  <si>
    <t>Data-cleaning tasks change data files; process states have no identifiers</t>
  </si>
  <si>
    <t>DataSciBench paper Appendix B.1, §3.3</t>
  </si>
  <si>
    <t>Step records contain dependent_task_ids</t>
  </si>
  <si>
    <t>Checked DataSciBench paper §3, Appendix B</t>
  </si>
  <si>
    <t>The output is code</t>
  </si>
  <si>
    <t>Checked DataSciBench paper §3.3, §7</t>
  </si>
  <si>
    <t>Checked DataSciBench paper Appendix A.5</t>
  </si>
  <si>
    <t>Checked DataSciBench paper Appendix A.6.1</t>
  </si>
  <si>
    <t>Checked DataSciBench paper Appendix A.12</t>
  </si>
  <si>
    <t>Checked the full DataSciBench paper</t>
  </si>
  <si>
    <t>69</t>
  </si>
  <si>
    <t>UniDataBench</t>
  </si>
  <si>
    <t>UniDataBench paper §3.1, §4.2.1, Appendix A.1</t>
  </si>
  <si>
    <t>Each task lists the data files used; unique column-level aliases belong to the authors' method</t>
  </si>
  <si>
    <t>UniDataBench paper §4.2.3</t>
  </si>
  <si>
    <t>Execution outputs are captured in order, without step numbers</t>
  </si>
  <si>
    <t>Checked UniDataBench paper §4</t>
  </si>
  <si>
    <t>Analysis is read-only</t>
  </si>
  <si>
    <t>UniDataBench paper §4.2.1–§4.2.3</t>
  </si>
  <si>
    <t>Cross-source join hints belong to the authors' method; benchmark records have no dependence field</t>
  </si>
  <si>
    <t>The output is code and insights</t>
  </si>
  <si>
    <t>Checked UniDataBench paper §4.2.1</t>
  </si>
  <si>
    <t>Join-edge weights are internal to the method</t>
  </si>
  <si>
    <t>UniDataBench paper Appendix B.1, Prompt 6</t>
  </si>
  <si>
    <t>Multi-source data may be inconsistent, but the handling of contradictory values is not recorded</t>
  </si>
  <si>
    <t>Checked UniDataBench paper §4.4, Appendix C.1</t>
  </si>
  <si>
    <t>The evaluated system is a single agent</t>
  </si>
  <si>
    <t>Checked UniDataBench paper §4.2.3</t>
  </si>
  <si>
    <t>Self-correction is code retry</t>
  </si>
  <si>
    <t>Checked the full UniDataBench paper</t>
  </si>
  <si>
    <t>70</t>
  </si>
  <si>
    <t>InsightEval</t>
  </si>
  <si>
    <t>InsightEval paper Tables 10–14</t>
  </si>
  <si>
    <t>Instances are identified by dataset ID</t>
  </si>
  <si>
    <t>InsightEval paper §4.2, Tables 11–14</t>
  </si>
  <si>
    <t>Questions and insights are numbered Q1..., I1...</t>
  </si>
  <si>
    <t>Checked InsightEval paper §4–§6</t>
  </si>
  <si>
    <t>InsightEval paper §4.2.3–§4.2.4</t>
  </si>
  <si>
    <t>Each insight is derived from the question-answer pair with the same number and the summary from all insights, so they correspond uniquely by number</t>
  </si>
  <si>
    <t>Checked InsightEval paper §4.2</t>
  </si>
  <si>
    <t>Checked InsightEval paper §8</t>
  </si>
  <si>
    <t>InsightEval paper Table 11</t>
  </si>
  <si>
    <t>Insights may contradict each other, but the benchmark does not track this</t>
  </si>
  <si>
    <t>Checked InsightEval paper Appendix E</t>
  </si>
  <si>
    <t>Human revision belongs to data construction</t>
  </si>
  <si>
    <t>Checked the full InsightEval paper</t>
  </si>
  <si>
    <t>71</t>
  </si>
  <si>
    <t>InvestorBench</t>
  </si>
  <si>
    <t>InvestorBench paper §3.1–§3.2, Appendix D</t>
  </si>
  <si>
    <t>Data sources are listed separately, and decision records cite the IDs of supporting memory events</t>
  </si>
  <si>
    <t>InvestorBench paper §3.2, Appendix D</t>
  </si>
  <si>
    <t>Recorded by trading day</t>
  </si>
  <si>
    <t>InvestorBench paper Appendix D, §4.2</t>
  </si>
  <si>
    <t>Position states are not recorded daily but can be uniquely derived from daily buy and sell actions</t>
  </si>
  <si>
    <t>InvestorBench paper Appendix D (Reflect step)</t>
  </si>
  <si>
    <t>Decision records list the IDs of the memory events they rely on</t>
  </si>
  <si>
    <t>Checked InvestorBench paper §2.1</t>
  </si>
  <si>
    <t>Actions are only buy, sell and hold</t>
  </si>
  <si>
    <t>InvestorBench paper §4.2, Appendix C</t>
  </si>
  <si>
    <t>Market signals are noisy, but decisions have no confidence representation</t>
  </si>
  <si>
    <t>InvestorBench paper Appendix C</t>
  </si>
  <si>
    <t>Price trends and news sentiment contradict each other; memory entries carry sentiment labels but no conflict relation</t>
  </si>
  <si>
    <t>Checked InvestorBench paper §1, Limitations</t>
  </si>
  <si>
    <t>InvestorBench paper §3.2, Appendix A</t>
  </si>
  <si>
    <t>Memory events have numeric IDs, and there are rules for importance boosting, layer promotion and purging, but before/after states are not recorded</t>
  </si>
  <si>
    <t>Checked InvestorBench paper Appendix A</t>
  </si>
  <si>
    <t>Purging low-score memories is not rollback</t>
  </si>
  <si>
    <t>72</t>
  </si>
  <si>
    <t>CAR-bench</t>
  </si>
  <si>
    <t>CAR-bench paper §3.1, Table 2, Appendix C</t>
  </si>
  <si>
    <t>Logs distinguish user messages, tool calls and assistant messages, and tool names are explicit</t>
  </si>
  <si>
    <t>CAR-bench paper §3.1, §3.3</t>
  </si>
  <si>
    <t>Turns are unnumbered and recorded in order</t>
  </si>
  <si>
    <t>CAR-bench paper §3.1, §3.3, Table 3</t>
  </si>
  <si>
    <t>31 dynamic state variables change with set tools and are checked by the evaluator after each turn; whether logs contain the state is not described, so recovery requires replay</t>
  </si>
  <si>
    <t>CAR-bench paper §3.5, Appendix A.1</t>
  </si>
  <si>
    <t>The API graph connects arguments and state changes, and policies specify preconditions; call dependences must be matched against the API graph</t>
  </si>
  <si>
    <t>CAR-bench paper Appendices A.1, A.3</t>
  </si>
  <si>
    <t>Policies require arguments to be given explicitly by the driver or read as preferences through tools, but the record has no source field and must be matched against earlier messages</t>
  </si>
  <si>
    <t>CAR-bench paper §3.2, Appendix A.1</t>
  </si>
  <si>
    <t>Ambiguity and missing capabilities are core test content; control words mark outcomes only on the user side, and the agent side has no uncertainty representation</t>
  </si>
  <si>
    <t>CAR-bench paper Appendix A.1 Listing 2</t>
  </si>
  <si>
    <t>Policies, explicit requests and preferences may conflict and are handled by a fixed priority, but the record has no conflict representation</t>
  </si>
  <si>
    <t>Checked CAR-bench paper §3.1</t>
  </si>
  <si>
    <t>Single agent with a simulated user</t>
  </si>
  <si>
    <t>Checked CAR-bench paper Appendices A.2, C.1</t>
  </si>
  <si>
    <t>Preferences are read-only, with no update mechanism</t>
  </si>
  <si>
    <t>Checked the full CAR-bench paper</t>
  </si>
  <si>
    <t>73</t>
  </si>
  <si>
    <t>AgencyBench</t>
  </si>
  <si>
    <t>AgencyBench paper §3.2</t>
  </si>
  <si>
    <t>Logs distinguish tool calls, tool outputs and user-simulator feedback</t>
  </si>
  <si>
    <t>AgencyBench paper §3.2, Table 3</t>
  </si>
  <si>
    <t>Within-task steps are concatenated in order, without step numbers</t>
  </si>
  <si>
    <t>AgencyBench paper §3.1.1, Appendix A.3</t>
  </si>
  <si>
    <t>Workspace files accumulate across tasks, without snapshots or versions</t>
  </si>
  <si>
    <t>AgencyBench paper Appendix A.3</t>
  </si>
  <si>
    <t>Later tasks build on earlier deliverables, but file-level dependences are not recorded</t>
  </si>
  <si>
    <t>Checked AgencyBench paper §3.2–§3.3</t>
  </si>
  <si>
    <t>Checked AgencyBench paper §4</t>
  </si>
  <si>
    <t>Checked AgencyBench paper §3.3</t>
  </si>
  <si>
    <t>The task agent works independently; the simulated user and judge only provide feedback</t>
  </si>
  <si>
    <t>AgencyBench paper §3.2, Fig. 3</t>
  </si>
  <si>
    <t>Feedback-driven revision is the standard process; feedback lists the failed rubric items, and before/after item states must be recovered by comparing adjacent feedback rounds</t>
  </si>
  <si>
    <t>Checked AgencyBench paper Appendix A.3</t>
  </si>
  <si>
    <t>Undo and redo are features of the deliverable, not benchmark mechanisms</t>
  </si>
  <si>
    <t>74</t>
  </si>
  <si>
    <t>AgentGym2</t>
  </si>
  <si>
    <t>AgentGym2 paper §5.1, Figs. 10–11</t>
  </si>
  <si>
    <t>Transcripts record tool calls and results</t>
  </si>
  <si>
    <t>AgentGym2 paper §5.1</t>
  </si>
  <si>
    <t>Recorded by turn, without timestamps</t>
  </si>
  <si>
    <t>AgentGym2 paper §3.2</t>
  </si>
  <si>
    <t>States such as the file system are mutable, without version identifiers</t>
  </si>
  <si>
    <t>AgentGym2 paper §1, §4</t>
  </si>
  <si>
    <t>Requests are underspecified and contain vague wording, but the record has no uncertainty representation</t>
  </si>
  <si>
    <t>AgentGym2 paper §1, Table 7</t>
  </si>
  <si>
    <t>Information sources may be incomplete or misleading, but the record has no conflict representation</t>
  </si>
  <si>
    <t>Checked AgentGym2 paper §3.1</t>
  </si>
  <si>
    <t>Checked the full AgentGym2 paper</t>
  </si>
  <si>
    <t>Paper title</t>
  </si>
  <si>
    <t>Venue</t>
  </si>
  <si>
    <t>Verification level</t>
  </si>
  <si>
    <t>Paper version or DOI link</t>
  </si>
  <si>
    <t>Date consulted</t>
  </si>
  <si>
    <t>Notes</t>
  </si>
  <si>
    <t>ICLR 2024</t>
  </si>
  <si>
    <t>B</t>
  </si>
  <si>
    <t>PlanBench: An Extensible Benchmark for Evaluating Large Language Models on Planning and Reasoning about Change</t>
  </si>
  <si>
    <t>NeurIPS 2023 Datasets &amp; Benchmarks</t>
  </si>
  <si>
    <t>FlowBench: Revisiting and Benchmarking Workflow-Guided Planning for LLM-based Agents</t>
  </si>
  <si>
    <t>Findings of EMNLP 2024</t>
  </si>
  <si>
    <t>A</t>
  </si>
  <si>
    <t>TravelPlanner: A Benchmark for Real-World Planning with Language Agents</t>
  </si>
  <si>
    <t>ICML 2024</t>
  </si>
  <si>
    <t>Reflection-Bench: Evaluating Epistemic Agency in Large Language Models</t>
  </si>
  <si>
    <t>2025-07</t>
  </si>
  <si>
    <t>ICML 2025</t>
  </si>
  <si>
    <t>LLF-Bench: Benchmark for Interactive Learning from Language Feedback</t>
  </si>
  <si>
    <t>Preprint / Microsoft Research</t>
  </si>
  <si>
    <t>Identifying the Risks of LM Agents with an LM-Emulated Sandbox</t>
  </si>
  <si>
    <t>ICLR 2024 (Spotlight)</t>
  </si>
  <si>
    <t>API-Bank: A Comprehensive Benchmark for Tool-Augmented LLMs</t>
  </si>
  <si>
    <t>EMNLP 2023</t>
  </si>
  <si>
    <t>The Berkeley Function Calling Leaderboard (BFCL): From Tool Use to Agentic Evaluation of Large Language Models</t>
  </si>
  <si>
    <t>ToolSandbox: A Stateful, Conversational, Interactive Evaluation Benchmark for LLM Tool Use Capabilities</t>
  </si>
  <si>
    <t>Findings of NAACL 2025</t>
  </si>
  <si>
    <t>HammerBench: Fine-Grained Function-Calling Evaluation in Real Mobile Assistant Scenarios</t>
  </si>
  <si>
    <t>Findings of ACL 2025</t>
  </si>
  <si>
    <t>StableToolBench: Towards Stable Large-Scale Benchmarking on Tool Learning of Large Language Models</t>
  </si>
  <si>
    <t>Findings of ACL 2024</t>
  </si>
  <si>
    <t>NESTFUL: A Benchmark for Evaluating LLMs on Nested Sequences of API Calls</t>
  </si>
  <si>
    <t>EMNLP 2025</t>
  </si>
  <si>
    <t>τ-bench: A Benchmark for Tool-Agent-User Interaction in Real-World Domains</t>
  </si>
  <si>
    <t>ICLR 2025</t>
  </si>
  <si>
    <t>τ²-Bench: Evaluating Conversational Agents in a Dual-Control Environment</t>
  </si>
  <si>
    <t>Preprint</t>
  </si>
  <si>
    <t>C</t>
  </si>
  <si>
    <t>ICLR 2026</t>
  </si>
  <si>
    <t>2026-07</t>
  </si>
  <si>
    <t>Findings of ACL 2026</t>
  </si>
  <si>
    <t>Mind2Web: Towards a Generalist Agent for the Web</t>
  </si>
  <si>
    <t>WebArena: A Realistic Web Environment for Building Autonomous Agents</t>
  </si>
  <si>
    <t>WebVoyager: Building an End-to-End Web Agent with Large Multimodal Models</t>
  </si>
  <si>
    <t>ACL 2024</t>
  </si>
  <si>
    <t>WebLINX: Real-World Website Navigation with Multi-Turn Dialogue</t>
  </si>
  <si>
    <t>VisualWebArena: Evaluating Multimodal Agents on Realistic Visual Web Tasks</t>
  </si>
  <si>
    <t>MMInA: Benchmarking Multihop Multimodal Internet Agents</t>
  </si>
  <si>
    <t>AssistantBench: Can Web Agents Solve Realistic and Time-Consuming Tasks?</t>
  </si>
  <si>
    <t>EMNLP 2024</t>
  </si>
  <si>
    <t>WebCanvas: Benchmarking Web Agents in Online Environments</t>
  </si>
  <si>
    <t>Preprint / project</t>
  </si>
  <si>
    <t>ST-WebAgentBench: A Benchmark for Evaluating Safety and Trustworthiness in Web Agents</t>
  </si>
  <si>
    <t>WorkArena: How Capable Are Web Agents at Solving Common Knowledge Work Tasks?</t>
  </si>
  <si>
    <t>WorkArena++: Towards Compositional Planning and Reasoning-based Common Knowledge Work Tasks</t>
  </si>
  <si>
    <t>NeurIPS 2024 Datasets &amp; Benchmarks</t>
  </si>
  <si>
    <t>OSWorld: Benchmarking Multimodal Agents for Open-Ended Tasks in Real Computer Environments</t>
  </si>
  <si>
    <t>ScreenSpot-Pro: GUI Grounding for Professional High-Resolution Computer Use</t>
  </si>
  <si>
    <t>Workshop on Reasoning and Planning for Large Language Models</t>
  </si>
  <si>
    <t>Windows Agent Arena: Evaluating Multi-Modal OS Agents at Scale</t>
  </si>
  <si>
    <t>OmniACT: A Dataset and Benchmark for Enabling Multimodal Generalist Autonomous Agents for Desktop and Web</t>
  </si>
  <si>
    <t>ECCV 2024</t>
  </si>
  <si>
    <t>SafeArena: Evaluating the Safety of Autonomous Web Agents</t>
  </si>
  <si>
    <t>MAS-Bench: A Unified Benchmark for Shortcut-Augmented Hybrid Mobile GUI Agents</t>
  </si>
  <si>
    <t>ACL 2026</t>
  </si>
  <si>
    <t>Evaluating Very Long-Term Conversational Memory of LLM Agents</t>
  </si>
  <si>
    <t>LongMemEval: Benchmarking Chat Assistants on Long-Term Interactive Memory</t>
  </si>
  <si>
    <t>MemBench: Towards More Comprehensive Evaluation on the Memory of LLM-based Agents</t>
  </si>
  <si>
    <t>Locomo-Plus: Beyond-Factual Cognitive Memory Evaluation Framework for LLM Agents</t>
  </si>
  <si>
    <t>AgentBench: Evaluating LLMs as Agents</t>
  </si>
  <si>
    <t>AgentBoard: An Analytical Evaluation Board of Multi-turn LLM Agents</t>
  </si>
  <si>
    <t>AppWorld: A Controllable World of Apps and People for Benchmarking Interactive Coding Agents</t>
  </si>
  <si>
    <t>ACL 2024 (Best Resource Paper)</t>
  </si>
  <si>
    <t>TheAgentCompany: Benchmarking LLM Agents on Consequential Real World Tasks</t>
  </si>
  <si>
    <t>NeurIPS 2025 Datasets &amp; Benchmarks</t>
  </si>
  <si>
    <t>CRMArena: Understanding the Capacity of LLM Agents to Perform Professional CRM Tasks in Realistic Environments</t>
  </si>
  <si>
    <t>NAACL 2025</t>
  </si>
  <si>
    <t>ACL 2025</t>
  </si>
  <si>
    <t>Which Agent Causes Task Failures and When? On Automated Failure Attribution of LLM Multi-Agent Systems</t>
  </si>
  <si>
    <t>Seeing the Whole Elephant: A Benchmark for Failure Attribution in LLM-based Multi-Agent Systems</t>
  </si>
  <si>
    <t>Market-Bench: Benchmarking Large Language Models on Economic and Trade Competition</t>
  </si>
  <si>
    <t>AgentHarm: A Benchmark for Measuring Harmfulness of LLM Agents</t>
  </si>
  <si>
    <t>Agent Security Bench (ASB): Formalizing and Benchmarking Attacks and Defenses in LLM-based Agents</t>
  </si>
  <si>
    <t>CI-Work: Benchmarking Contextual Integrity in Enterprise LLM Agents</t>
  </si>
  <si>
    <t>ACL 2026 Industry Track</t>
  </si>
  <si>
    <t>SWE-bench: Can Language Models Resolve Real-World GitHub Issues?</t>
  </si>
  <si>
    <t>ICLR 2024 (Oral)</t>
  </si>
  <si>
    <t>SWE-bench Multimodal: Do AI Systems Generalize to Visual Software Domains?</t>
  </si>
  <si>
    <t>SWE-Lancer: Can Frontier LLMs Earn $1 Million from Real-World Freelance Software Engineering?</t>
  </si>
  <si>
    <t>ITBench: Evaluating AI Agents across Diverse Real-World IT Automation Tasks</t>
  </si>
  <si>
    <t>Terminal-Bench: Benchmarking Agents on Hard, Realistic Tasks in Command Line Interfaces</t>
  </si>
  <si>
    <t>Technical release, 2026 arXiv paper</t>
  </si>
  <si>
    <t>SUPER: Evaluating Agents on Setting Up and Executing Tasks from Research Repositories</t>
  </si>
  <si>
    <t>Preprint / open benchmark</t>
  </si>
  <si>
    <t>ScienceAgentBench: Toward Rigorous Assessment of Language Agents for Data-Driven Scientific Discovery</t>
  </si>
  <si>
    <t>PaperBench: Evaluating AI's Ability to Replicate AI Research</t>
  </si>
  <si>
    <t>DataSciBench: An LLM Agent Benchmark for Data Science</t>
  </si>
  <si>
    <t>ACL 2026 (Outstanding Paper)</t>
  </si>
  <si>
    <t>AgencyBench: Benchmarking the Frontiers of Autonomous Agents in 1M-Token Real-World Contexts</t>
  </si>
  <si>
    <t>AgentGym2: Benchmarking Large Language Model Agents in De-Idealized Real-World Environments</t>
  </si>
  <si>
    <t>Task</t>
  </si>
  <si>
    <t>Task 1: Benchmark process-record audit</t>
  </si>
  <si>
    <t>Before coding, did you view any earlier coding results, consensus matrix, or the corresponding statistics in the manuscript for this task? (Yes/No)</t>
  </si>
  <si>
    <t>No</t>
  </si>
  <si>
    <t>If yes, specify what was viewed</t>
  </si>
  <si>
    <t>During coding, did you discuss specific items with another coder? (Yes/No)</t>
  </si>
  <si>
    <t>Coder ID</t>
  </si>
  <si>
    <t>A01</t>
  </si>
  <si>
    <t>https://arxiv.org/abs/2309.10691v3</t>
  </si>
  <si>
    <t>https://github.com/xingyaoww/mint-bench/tree/3f7f12c10bf763be1e6dbdeb42feb57624121f61</t>
  </si>
  <si>
    <t>https://arxiv.org/abs/2309.10691</t>
  </si>
  <si>
    <t>First release denotes the earliest verified paper submission date or publication month. Input-table value: 2024.</t>
  </si>
  <si>
    <t>Repository HEAD snapshot verified</t>
  </si>
  <si>
    <t>3f7f12c10bf763be1e6dbdeb42feb57624121f61</t>
  </si>
  <si>
    <t>https://github.com/xingyaoww/mint-bench/commit/3f7f12c10bf763be1e6dbdeb42feb57624121f61</t>
  </si>
  <si>
    <t>https://arxiv.org/abs/2206.10498v4</t>
  </si>
  <si>
    <t>https://github.com/karthikv792/LLMs-Planning/tree/fc638a1aff7df3fe7a1a1d289fa2c04cc24dc284</t>
  </si>
  <si>
    <t>https://arxiv.org/abs/2206.10498</t>
  </si>
  <si>
    <t>First release denotes the earliest verified paper submission date or publication month. Input-table value: 2023.</t>
  </si>
  <si>
    <t>fc638a1aff7df3fe7a1a1d289fa2c04cc24dc284</t>
  </si>
  <si>
    <t>https://github.com/karthikv792/LLMs-Planning/commit/fc638a1aff7df3fe7a1a1d289fa2c04cc24dc284</t>
  </si>
  <si>
    <t>https://arxiv.org/abs/2406.14884v1</t>
  </si>
  <si>
    <t>https://github.com/Justherozen/FlowBench/tree/5145bf6a023d8ed2632dece1113843fb9cb28b09</t>
  </si>
  <si>
    <t>https://arxiv.org/abs/2406.14884</t>
  </si>
  <si>
    <t>First release denotes the earliest verified paper submission date or publication month. Input-table value: 2024-11.</t>
  </si>
  <si>
    <t>5145bf6a023d8ed2632dece1113843fb9cb28b09</t>
  </si>
  <si>
    <t>https://github.com/Justherozen/FlowBench/commit/5145bf6a023d8ed2632dece1113843fb9cb28b09</t>
  </si>
  <si>
    <t>https://arxiv.org/abs/2402.01622v4</t>
  </si>
  <si>
    <t>https://github.com/OSU-NLP-Group/TravelPlanner/tree/e52c87f4ac348a3410c46dc3553c519db5ec5e23</t>
  </si>
  <si>
    <t>https://arxiv.org/abs/2402.01622</t>
  </si>
  <si>
    <t>e52c87f4ac348a3410c46dc3553c519db5ec5e23</t>
  </si>
  <si>
    <t>https://github.com/OSU-NLP-Group/TravelPlanner/commit/e52c87f4ac348a3410c46dc3553c519db5ec5e23</t>
  </si>
  <si>
    <t>https://proceedings.mlr.press/v267/li25cu.html</t>
  </si>
  <si>
    <t>https://github.com/AI45Lab/ReflectionBench/tree/b1707aa99f3bfd52645f43ae31e5fdc8e2d21883</t>
  </si>
  <si>
    <t>https://reflectionbench.github.io/</t>
  </si>
  <si>
    <t>The ICML 2025 title is used. The earlier preprint has a different title.</t>
  </si>
  <si>
    <t>b1707aa99f3bfd52645f43ae31e5fdc8e2d21883</t>
  </si>
  <si>
    <t>https://github.com/AI45Lab/ReflectionBench/commit/b1707aa99f3bfd52645f43ae31e5fdc8e2d21883</t>
  </si>
  <si>
    <t>https://arxiv.org/abs/2312.06853v2</t>
  </si>
  <si>
    <t>https://github.com/microsoft/LLF-Bench/tree/fce2e11d8ceac33ae81265d09cb3e12a1d9e9030</t>
  </si>
  <si>
    <t>https://arxiv.org/abs/2312.06853</t>
  </si>
  <si>
    <t>First release denotes the earliest verified paper submission date or publication month. Input-table value: 2023-12.</t>
  </si>
  <si>
    <t>fce2e11d8ceac33ae81265d09cb3e12a1d9e9030</t>
  </si>
  <si>
    <t>https://github.com/microsoft/LLF-Bench/commit/fce2e11d8ceac33ae81265d09cb3e12a1d9e9030</t>
  </si>
  <si>
    <t>https://arxiv.org/abs/2309.15817v2</t>
  </si>
  <si>
    <t>https://github.com/ryoungj/ToolEmu/tree/ac4a7ab7ed8c7985d96231e214bd6b54304b7ddb</t>
  </si>
  <si>
    <t>https://arxiv.org/abs/2309.15817</t>
  </si>
  <si>
    <t>ac4a7ab7ed8c7985d96231e214bd6b54304b7ddb</t>
  </si>
  <si>
    <t>https://github.com/ryoungj/ToolEmu/commit/ac4a7ab7ed8c7985d96231e214bd6b54304b7ddb</t>
  </si>
  <si>
    <t>https://arxiv.org/abs/2304.08244v2</t>
  </si>
  <si>
    <t>https://github.com/AlibabaResearch/DAMO-ConvAI/tree/faf754671f5b850e1b4d1ff870db37a6a2480df6/api-bank</t>
  </si>
  <si>
    <t>https://arxiv.org/abs/2304.08244</t>
  </si>
  <si>
    <t>First release denotes the earliest verified paper submission date or publication month. Input-table value: 2023-12. API-Bank is located in the api-bank subdirectory of the DAMO-ConvAI monorepository.</t>
  </si>
  <si>
    <t>faf754671f5b850e1b4d1ff870db37a6a2480df6</t>
  </si>
  <si>
    <t>https://github.com/AlibabaResearch/DAMO-ConvAI/commit/faf754671f5b850e1b4d1ff870db37a6a2480df6</t>
  </si>
  <si>
    <t>https://arxiv.org/abs/2307.16789v2</t>
  </si>
  <si>
    <t>https://github.com/OpenBMB/ToolBench/tree/d56fdd89faf8c91fa135090b212bb9057ee5cfc2</t>
  </si>
  <si>
    <t>https://arxiv.org/abs/2307.16789</t>
  </si>
  <si>
    <t>d56fdd89faf8c91fa135090b212bb9057ee5cfc2</t>
  </si>
  <si>
    <t>https://github.com/OpenBMB/ToolBench/commit/d56fdd89faf8c91fa135090b212bb9057ee5cfc2</t>
  </si>
  <si>
    <t>https://proceedings.mlr.press/v267/patil25a.html</t>
  </si>
  <si>
    <t>https://github.com/ShishirPatil/gorilla/tree/6ea57973c7a6097fd7c5915698c54c17c5b1b6c8/berkeley-function-call-leaderboard</t>
  </si>
  <si>
    <t>First release denotes the earliest verified paper submission date or publication month. Input-table value: 2025. BFCL is maintained in a shared repository. The current repository snapshot is distinct from the version used in the ICML 2025 paper.</t>
  </si>
  <si>
    <t>6ea57973c7a6097fd7c5915698c54c17c5b1b6c8</t>
  </si>
  <si>
    <t>https://github.com/ShishirPatil/gorilla/commit/6ea57973c7a6097fd7c5915698c54c17c5b1b6c8</t>
  </si>
  <si>
    <t>https://arxiv.org/abs/2408.04682v2</t>
  </si>
  <si>
    <t>https://github.com/apple-aiml-research/ToolSandbox/tree/c8571d7854316d2e1c5f288e59fe1e34e53f6dd1</t>
  </si>
  <si>
    <t>https://arxiv.org/abs/2408.04682</t>
  </si>
  <si>
    <t>First release denotes the earliest verified paper submission date or publication month. Input-table value: 2025. The repository moved from apple/ToolSandbox to apple-aiml-research/ToolSandbox. The current canonical location is recorded.</t>
  </si>
  <si>
    <t>c8571d7854316d2e1c5f288e59fe1e34e53f6dd1</t>
  </si>
  <si>
    <t>https://github.com/apple-aiml-research/ToolSandbox/commit/c8571d7854316d2e1c5f288e59fe1e34e53f6dd1</t>
  </si>
  <si>
    <t>https://arxiv.org/abs/2412.16516v2</t>
  </si>
  <si>
    <t>https://github.com/MadeAgents/HammerBench/tree/403d58f2d30430b04b16b8f68e69665a7fba1264</t>
  </si>
  <si>
    <t>https://arxiv.org/abs/2412.16516</t>
  </si>
  <si>
    <t>First release denotes the earliest verified paper submission date or publication month. Input-table value: 2025-07. The ACL publication uses Real Mobile Assistant Scenarios; the arXiv title uses Real Mobile Device Scenarios.</t>
  </si>
  <si>
    <t>403d58f2d30430b04b16b8f68e69665a7fba1264</t>
  </si>
  <si>
    <t>https://github.com/MadeAgents/HammerBench/commit/403d58f2d30430b04b16b8f68e69665a7fba1264</t>
  </si>
  <si>
    <t>https://arxiv.org/abs/2403.07714v5</t>
  </si>
  <si>
    <t>https://github.com/THUNLP-MT/StableToolBench/tree/aa4ed9f4737ad98bd706663f01d63623c3427812</t>
  </si>
  <si>
    <t>https://arxiv.org/abs/2403.07714</t>
  </si>
  <si>
    <t>First release denotes the earliest verified paper submission date or publication month. Input-table value: 2024-08.</t>
  </si>
  <si>
    <t>aa4ed9f4737ad98bd706663f01d63623c3427812</t>
  </si>
  <si>
    <t>https://github.com/THUNLP-MT/StableToolBench/commit/aa4ed9f4737ad98bd706663f01d63623c3427812</t>
  </si>
  <si>
    <t>https://arxiv.org/abs/2409.03797v3</t>
  </si>
  <si>
    <t>https://github.com/IBM/NESTFUL/tree/fc2c4123e73500a56185a5fb354f05d1c8b4890c</t>
  </si>
  <si>
    <t>https://huggingface.co/datasets/ibm-research/nestful</t>
  </si>
  <si>
    <t>First release denotes the earliest verified paper submission date or publication month. Input-table value: 2025.</t>
  </si>
  <si>
    <t>fc2c4123e73500a56185a5fb354f05d1c8b4890c</t>
  </si>
  <si>
    <t>https://github.com/IBM/NESTFUL/commit/fc2c4123e73500a56185a5fb354f05d1c8b4890c</t>
  </si>
  <si>
    <t>https://arxiv.org/abs/2406.12045v1</t>
  </si>
  <si>
    <t>https://github.com/sierra-research/tau-bench/tree/59a200c6d575d595120f1cb70fea53cef0632f6b</t>
  </si>
  <si>
    <t>https://arxiv.org/abs/2406.12045</t>
  </si>
  <si>
    <t>59a200c6d575d595120f1cb70fea53cef0632f6b</t>
  </si>
  <si>
    <t>https://github.com/sierra-research/tau-bench/commit/59a200c6d575d595120f1cb70fea53cef0632f6b</t>
  </si>
  <si>
    <t>https://arxiv.org/abs/2506.07982v1</t>
  </si>
  <si>
    <t>https://github.com/sierra-research/tau2-bench/tree/cc1df47baa1544a34bb8c8e5c4ca72ad223b96a2</t>
  </si>
  <si>
    <t>https://arxiv.org/abs/2506.07982</t>
  </si>
  <si>
    <t>First release denotes the earliest verified paper submission date or publication month. Input-table value: 2025-06.</t>
  </si>
  <si>
    <t>cc1df47baa1544a34bb8c8e5c4ca72ad223b96a2</t>
  </si>
  <si>
    <t>https://github.com/sierra-research/tau2-bench/commit/cc1df47baa1544a34bb8c8e5c4ca72ad223b96a2</t>
  </si>
  <si>
    <t>https://arxiv.org/abs/2602.00933v3</t>
  </si>
  <si>
    <t>https://github.com/scaleapi/mcp-atlas/tree/a2ee8636f969019bc98e36972aa5f3cd16776d87</t>
  </si>
  <si>
    <t>https://arxiv.org/abs/2602.00933</t>
  </si>
  <si>
    <t>First release denotes the earliest verified paper submission date or publication month. Input-table value: 2026. The formal paper title replaces the descriptive title in the input table.</t>
  </si>
  <si>
    <t>a2ee8636f969019bc98e36972aa5f3cd16776d87</t>
  </si>
  <si>
    <t>https://github.com/scaleapi/mcp-atlas/commit/a2ee8636f969019bc98e36972aa5f3cd16776d87</t>
  </si>
  <si>
    <t>https://arxiv.org/abs/2510.25726v2</t>
  </si>
  <si>
    <t>https://github.com/hkust-nlp/Toolathlon/tree/9be8d8fe07a497b18ee61e3f2ae694e9797f39eb</t>
  </si>
  <si>
    <t>https://huggingface.co/datasets/hkust-nlp/Toolathlon</t>
  </si>
  <si>
    <t>First release denotes the earliest verified paper submission date or publication month. Input-table value: 2026. The Tool Decathlon is the formal paper title; Toolathlon is the benchmark name.</t>
  </si>
  <si>
    <t>9be8d8fe07a497b18ee61e3f2ae694e9797f39eb</t>
  </si>
  <si>
    <t>https://github.com/hkust-nlp/Toolathlon/commit/9be8d8fe07a497b18ee61e3f2ae694e9797f39eb</t>
  </si>
  <si>
    <t>https://aclanthology.org/2026.findings-acl.1676/</t>
  </si>
  <si>
    <t>https://github.com/zhiyuanc2001/APOLLO/tree/80a75350294fd5725131a77de8989a90e41dbe20</t>
  </si>
  <si>
    <t>Paper title and source links matched to the benchmark.</t>
  </si>
  <si>
    <t>80a75350294fd5725131a77de8989a90e41dbe20</t>
  </si>
  <si>
    <t>https://github.com/zhiyuanc2001/APOLLO/commit/80a75350294fd5725131a77de8989a90e41dbe20</t>
  </si>
  <si>
    <t>https://arxiv.org/abs/2510.12218v2</t>
  </si>
  <si>
    <t>https://github.com/KU-MIIL/GOAT/tree/a72e266af2d4f196d341b82607bbb6016f77f6fb</t>
  </si>
  <si>
    <t>https://aclanthology.org/2026.findings-acl.1150/</t>
  </si>
  <si>
    <t>First release denotes the earliest verified paper submission date or publication month. Input-table value: 2026-07.</t>
  </si>
  <si>
    <t>a72e266af2d4f196d341b82607bbb6016f77f6fb</t>
  </si>
  <si>
    <t>https://github.com/KU-MIIL/GOAT/commit/a72e266af2d4f196d341b82607bbb6016f77f6fb</t>
  </si>
  <si>
    <t>https://arxiv.org/abs/2306.06070v3</t>
  </si>
  <si>
    <t>https://github.com/OSU-NLP-Group/Mind2Web/tree/33bd95caeee7bba22dd08ecc935845e15c5e5dc7</t>
  </si>
  <si>
    <t>https://arxiv.org/abs/2306.06070</t>
  </si>
  <si>
    <t>33bd95caeee7bba22dd08ecc935845e15c5e5dc7</t>
  </si>
  <si>
    <t>https://github.com/OSU-NLP-Group/Mind2Web/commit/33bd95caeee7bba22dd08ecc935845e15c5e5dc7</t>
  </si>
  <si>
    <t>https://arxiv.org/abs/2307.13854v4</t>
  </si>
  <si>
    <t>https://github.com/web-arena-x/webarena/tree/dce04686a56253aefba7b18a4fa0937cf1dc987b</t>
  </si>
  <si>
    <t>https://arxiv.org/abs/2307.13854</t>
  </si>
  <si>
    <t>dce04686a56253aefba7b18a4fa0937cf1dc987b</t>
  </si>
  <si>
    <t>https://github.com/web-arena-x/webarena/commit/dce04686a56253aefba7b18a4fa0937cf1dc987b</t>
  </si>
  <si>
    <t>https://arxiv.org/abs/2401.13919v4</t>
  </si>
  <si>
    <t>https://github.com/MinorJerry/WebVoyager/tree/5a7896738c10bfb8b9edccce6bb0e0411f8ae569</t>
  </si>
  <si>
    <t>https://arxiv.org/abs/2401.13919</t>
  </si>
  <si>
    <t>5a7896738c10bfb8b9edccce6bb0e0411f8ae569</t>
  </si>
  <si>
    <t>https://github.com/MinorJerry/WebVoyager/commit/5a7896738c10bfb8b9edccce6bb0e0411f8ae569</t>
  </si>
  <si>
    <t>https://arxiv.org/abs/2402.05930v2</t>
  </si>
  <si>
    <t>https://github.com/McGill-NLP/weblinx/tree/9a7e814ffaac36d36ae5291dc3407c530055e16f</t>
  </si>
  <si>
    <t>https://arxiv.org/abs/2402.05930</t>
  </si>
  <si>
    <t>9a7e814ffaac36d36ae5291dc3407c530055e16f</t>
  </si>
  <si>
    <t>https://github.com/McGill-NLP/weblinx/commit/9a7e814ffaac36d36ae5291dc3407c530055e16f</t>
  </si>
  <si>
    <t>https://arxiv.org/abs/2401.13649v2</t>
  </si>
  <si>
    <t>https://github.com/web-arena-x/visualwebarena/tree/89f5af29305c3d1e9f97ce4421462060a70c9a03</t>
  </si>
  <si>
    <t>https://arxiv.org/abs/2401.13649</t>
  </si>
  <si>
    <t>89f5af29305c3d1e9f97ce4421462060a70c9a03</t>
  </si>
  <si>
    <t>https://github.com/web-arena-x/visualwebarena/commit/89f5af29305c3d1e9f97ce4421462060a70c9a03</t>
  </si>
  <si>
    <t>https://arxiv.org/abs/2404.09992v2</t>
  </si>
  <si>
    <t>https://github.com/shulin16/MMInA/tree/54b23ab81f0ae118507760c4865007001172ba0f</t>
  </si>
  <si>
    <t>https://arxiv.org/abs/2404.09992</t>
  </si>
  <si>
    <t>First release denotes the earliest verified paper submission date or publication month. Input-table value: 2025-07.</t>
  </si>
  <si>
    <t>54b23ab81f0ae118507760c4865007001172ba0f</t>
  </si>
  <si>
    <t>https://github.com/shulin16/MMInA/commit/54b23ab81f0ae118507760c4865007001172ba0f</t>
  </si>
  <si>
    <t>https://arxiv.org/abs/2407.15711v2</t>
  </si>
  <si>
    <t>https://github.com/oriyor/assistantbench/tree/2ce557dca1fca5d746d1dee07dfa86018802763c</t>
  </si>
  <si>
    <t>https://arxiv.org/abs/2407.15711</t>
  </si>
  <si>
    <t>2ce557dca1fca5d746d1dee07dfa86018802763c</t>
  </si>
  <si>
    <t>https://github.com/oriyor/assistantbench/commit/2ce557dca1fca5d746d1dee07dfa86018802763c</t>
  </si>
  <si>
    <t>https://arxiv.org/abs/2406.12373v3</t>
  </si>
  <si>
    <t>https://github.com/iMeanAI/WebCanvas/tree/b9f289128614cd99b97abd0bb9bfc3a45f0847e0</t>
  </si>
  <si>
    <t>https://arxiv.org/abs/2406.12373</t>
  </si>
  <si>
    <t>b9f289128614cd99b97abd0bb9bfc3a45f0847e0</t>
  </si>
  <si>
    <t>https://github.com/iMeanAI/WebCanvas/commit/b9f289128614cd99b97abd0bb9bfc3a45f0847e0</t>
  </si>
  <si>
    <t>https://arxiv.org/abs/2410.06703v7</t>
  </si>
  <si>
    <t>https://github.com/segev-shlomov/ST-WebAgentBench/tree/67f56dd7df9eca1646c9e49407b087e950aa1e77</t>
  </si>
  <si>
    <t>https://arxiv.org/abs/2410.06703</t>
  </si>
  <si>
    <t>First release denotes the earliest verified paper submission date or publication month. Input-table value: 2026.</t>
  </si>
  <si>
    <t>67f56dd7df9eca1646c9e49407b087e950aa1e77</t>
  </si>
  <si>
    <t>https://github.com/segev-shlomov/ST-WebAgentBench/commit/67f56dd7df9eca1646c9e49407b087e950aa1e77</t>
  </si>
  <si>
    <t>https://arxiv.org/abs/2403.07718v5</t>
  </si>
  <si>
    <t>https://github.com/ServiceNow/WorkArena/tree/e885130962f61fb64ac305497996a46cfc7d18f0</t>
  </si>
  <si>
    <t>https://arxiv.org/abs/2403.07718</t>
  </si>
  <si>
    <t>e885130962f61fb64ac305497996a46cfc7d18f0</t>
  </si>
  <si>
    <t>https://github.com/ServiceNow/WorkArena/commit/e885130962f61fb64ac305497996a46cfc7d18f0</t>
  </si>
  <si>
    <t>https://arxiv.org/abs/2407.05291v2</t>
  </si>
  <si>
    <t>https://arxiv.org/abs/2407.05291</t>
  </si>
  <si>
    <t>First release denotes the earliest verified paper submission date or publication month. Input-table value: 2024. WorkArena++ shares its repository with WorkArena and uses compositional task configurations.</t>
  </si>
  <si>
    <t>https://arxiv.org/abs/2404.07972v2</t>
  </si>
  <si>
    <t>https://github.com/xlang-ai/OSWorld/tree/04718eab9327856efe8192cc58161acc7a7627e2</t>
  </si>
  <si>
    <t>https://arxiv.org/abs/2404.07972</t>
  </si>
  <si>
    <t>04718eab9327856efe8192cc58161acc7a7627e2</t>
  </si>
  <si>
    <t>https://github.com/xlang-ai/OSWorld/commit/04718eab9327856efe8192cc58161acc7a7627e2</t>
  </si>
  <si>
    <t>https://arxiv.org/abs/2504.07981v1</t>
  </si>
  <si>
    <t>https://github.com/likaixin2000/ScreenSpot-Pro-GUI-Grounding/tree/dbe00114bc53a32c61c1a267786da85967710da8</t>
  </si>
  <si>
    <t>https://arxiv.org/abs/2504.07981</t>
  </si>
  <si>
    <t>dbe00114bc53a32c61c1a267786da85967710da8</t>
  </si>
  <si>
    <t>https://github.com/likaixin2000/ScreenSpot-Pro-GUI-Grounding/commit/dbe00114bc53a32c61c1a267786da85967710da8</t>
  </si>
  <si>
    <t>https://arxiv.org/abs/2409.08264v2</t>
  </si>
  <si>
    <t>https://github.com/microsoft/WindowsAgentArena/tree/6d39ed88c545a0d40a7a02e39b928e278df7332b</t>
  </si>
  <si>
    <t>https://arxiv.org/abs/2409.08264</t>
  </si>
  <si>
    <t>6d39ed88c545a0d40a7a02e39b928e278df7332b</t>
  </si>
  <si>
    <t>https://github.com/microsoft/WindowsAgentArena/commit/6d39ed88c545a0d40a7a02e39b928e278df7332b</t>
  </si>
  <si>
    <t>https://arxiv.org/abs/2402.17553v3</t>
  </si>
  <si>
    <t>https://huggingface.co/datasets/Writer/omniact/tree/5e4bcb26745afc8d58ba9519ea9c9fb832386d26</t>
  </si>
  <si>
    <t>https://huggingface.co/datasets/Writer/omniact</t>
  </si>
  <si>
    <t>First release denotes the earliest verified paper submission date or publication month. Input-table value: 2024. The author-maintained Hugging Face repository includes the dataset and eval.py. Its latest listed revision is recorded.</t>
  </si>
  <si>
    <t>Dataset snapshot verified</t>
  </si>
  <si>
    <t>5e4bcb26745afc8d58ba9519ea9c9fb832386d26</t>
  </si>
  <si>
    <t>https://huggingface.co/datasets/Writer/omniact/commits/main</t>
  </si>
  <si>
    <t>https://arxiv.org/abs/2503.04957v1</t>
  </si>
  <si>
    <t>https://github.com/McGill-NLP/safearena/tree/a146df4013b775b0fbaf9423ea60e697eb97589e</t>
  </si>
  <si>
    <t>https://arxiv.org/abs/2503.04957</t>
  </si>
  <si>
    <t>a146df4013b775b0fbaf9423ea60e697eb97589e</t>
  </si>
  <si>
    <t>https://github.com/McGill-NLP/safearena/commit/a146df4013b775b0fbaf9423ea60e697eb97589e</t>
  </si>
  <si>
    <t>https://arxiv.org/abs/2509.06477v2</t>
  </si>
  <si>
    <t>https://github.com/Pengxiang-zhao/MAS-Bench/tree/db46598813cc83f85229cdcd9aef1aa13fda8a1b</t>
  </si>
  <si>
    <t>https://arxiv.org/abs/2509.06477</t>
  </si>
  <si>
    <t>First release denotes the earliest verified paper submission date or publication month. Input-table value: 2026-07. This is the mobile GUI MAS-Bench, distinct from the distributed-sorting benchmark in row 52.</t>
  </si>
  <si>
    <t>db46598813cc83f85229cdcd9aef1aa13fda8a1b</t>
  </si>
  <si>
    <t>https://github.com/Pengxiang-zhao/MAS-Bench/commit/db46598813cc83f85229cdcd9aef1aa13fda8a1b</t>
  </si>
  <si>
    <t>https://arxiv.org/abs/2402.17753v1</t>
  </si>
  <si>
    <t>https://github.com/snap-research/LoCoMo/tree/3eb6f2c585f5e1699204e3c3bdf7adc5c28cb376</t>
  </si>
  <si>
    <t>https://arxiv.org/abs/2402.17753</t>
  </si>
  <si>
    <t>3eb6f2c585f5e1699204e3c3bdf7adc5c28cb376</t>
  </si>
  <si>
    <t>https://github.com/snap-research/locomo/commit/3eb6f2c585f5e1699204e3c3bdf7adc5c28cb376</t>
  </si>
  <si>
    <t>https://arxiv.org/abs/2410.10813v2</t>
  </si>
  <si>
    <t>https://github.com/xiaowu0162/LongMemEval/tree/9e0b455f4ef0e2ab8f2e582289761153549043fc</t>
  </si>
  <si>
    <t>https://arxiv.org/abs/2410.10813</t>
  </si>
  <si>
    <t>9e0b455f4ef0e2ab8f2e582289761153549043fc</t>
  </si>
  <si>
    <t>https://github.com/xiaowu0162/LongMemEval/commit/9e0b455f4ef0e2ab8f2e582289761153549043fc</t>
  </si>
  <si>
    <t>https://arxiv.org/abs/2506.21605v1</t>
  </si>
  <si>
    <t>https://github.com/import-myself/Membench/tree/f66d8d1028d3f68627d00f77a967b93fbb8694b6</t>
  </si>
  <si>
    <t>https://arxiv.org/abs/2506.21605</t>
  </si>
  <si>
    <t>f66d8d1028d3f68627d00f77a967b93fbb8694b6</t>
  </si>
  <si>
    <t>https://github.com/import-myself/Membench/commit/f66d8d1028d3f68627d00f77a967b93fbb8694b6</t>
  </si>
  <si>
    <t>https://arxiv.org/abs/2507.05257v4</t>
  </si>
  <si>
    <t>https://github.com/HUST-AI-HYZ/MemoryAgentBench/tree/538026089d1a8a8eff05121d0db89b388f360eba</t>
  </si>
  <si>
    <t>https://arxiv.org/abs/2507.05257</t>
  </si>
  <si>
    <t>First release denotes the earliest verified paper submission date or publication month. Input-table value: 2026. MemoryAgentBench is the benchmark name. The corresponding paper is Evaluating Memory in LLM Agents via Incremental Multi-Turn Interactions.</t>
  </si>
  <si>
    <t>538026089d1a8a8eff05121d0db89b388f360eba</t>
  </si>
  <si>
    <t>https://github.com/HUST-AI-HYZ/MemoryAgentBench/commit/538026089d1a8a8eff05121d0db89b388f360eba</t>
  </si>
  <si>
    <t>https://arxiv.org/abs/2602.10715v1</t>
  </si>
  <si>
    <t>https://github.com/xjtuleeyf/Locomo-Plus/tree/059f4e3d38f7f1f96765e8e2cb7de3097551bffb</t>
  </si>
  <si>
    <t>https://arxiv.org/abs/2602.10715</t>
  </si>
  <si>
    <t>059f4e3d38f7f1f96765e8e2cb7de3097551bffb</t>
  </si>
  <si>
    <t>https://github.com/xjtuleeyf/Locomo-Plus/commit/059f4e3d38f7f1f96765e8e2cb7de3097551bffb</t>
  </si>
  <si>
    <t>https://arxiv.org/abs/2311.12983v1</t>
  </si>
  <si>
    <t>https://huggingface.co/datasets/gaia-benchmark/GAIA/tree/682dd723ee1e1697e00360edccf2366dc8418dd9</t>
  </si>
  <si>
    <t>https://huggingface.co/datasets/gaia-benchmark/GAIA</t>
  </si>
  <si>
    <t>First release denotes the earliest verified paper submission date or publication month. Input-table value: 2024. The official GAIA dataset revision is recorded. The 2023_all and difficulty-specific configurations are defined in its dataset card.</t>
  </si>
  <si>
    <t>682dd723ee1e1697e00360edccf2366dc8418dd9</t>
  </si>
  <si>
    <t>https://huggingface.co/api/datasets/gaia-benchmark/GAIA</t>
  </si>
  <si>
    <t>https://arxiv.org/abs/2308.03688v3</t>
  </si>
  <si>
    <t>https://github.com/THUDM/AgentBench/tree/d1e4a10db08c87075c78972e48ecc182be03e2d5</t>
  </si>
  <si>
    <t>https://arxiv.org/abs/2308.03688</t>
  </si>
  <si>
    <t>d1e4a10db08c87075c78972e48ecc182be03e2d5</t>
  </si>
  <si>
    <t>https://github.com/THUDM/AgentBench/commit/d1e4a10db08c87075c78972e48ecc182be03e2d5</t>
  </si>
  <si>
    <t>https://arxiv.org/abs/2401.13178v2</t>
  </si>
  <si>
    <t>https://github.com/hkust-nlp/AgentBoard/tree/bb7255e2daf1989069a186dad9e53f70680961db</t>
  </si>
  <si>
    <t>https://arxiv.org/abs/2401.13178</t>
  </si>
  <si>
    <t>bb7255e2daf1989069a186dad9e53f70680961db</t>
  </si>
  <si>
    <t>https://github.com/hkust-nlp/AgentBoard/commit/bb7255e2daf1989069a186dad9e53f70680961db</t>
  </si>
  <si>
    <t>https://arxiv.org/abs/2407.18901v1</t>
  </si>
  <si>
    <t>https://github.com/StonyBrookNLP/appworld/tree/42b5bcf3cd334fee33f0c37c02070a9f5807add5</t>
  </si>
  <si>
    <t>https://arxiv.org/abs/2407.18901</t>
  </si>
  <si>
    <t>42b5bcf3cd334fee33f0c37c02070a9f5807add5</t>
  </si>
  <si>
    <t>https://github.com/StonyBrookNLP/appworld/commit/42b5bcf3cd334fee33f0c37c02070a9f5807add5</t>
  </si>
  <si>
    <t>https://arxiv.org/abs/2412.14161v3</t>
  </si>
  <si>
    <t>https://github.com/TheAgentCompany/TheAgentCompany/tree/98b68ef82a47690c316f42fddb05baafaab56851</t>
  </si>
  <si>
    <t>https://arxiv.org/abs/2412.14161</t>
  </si>
  <si>
    <t>98b68ef82a47690c316f42fddb05baafaab56851</t>
  </si>
  <si>
    <t>https://github.com/TheAgentCompany/TheAgentCompany/commit/98b68ef82a47690c316f42fddb05baafaab56851</t>
  </si>
  <si>
    <t>https://arxiv.org/abs/2411.02305v2</t>
  </si>
  <si>
    <t>https://github.com/SalesforceAIResearch/CRMArena/tree/22033e5364b4ca5faf71fe29deae181b4c518706</t>
  </si>
  <si>
    <t>https://arxiv.org/abs/2411.02305</t>
  </si>
  <si>
    <t>First release denotes the earliest verified paper submission date or publication month. Input-table value: 2025-04. This entry refers to the original CRMArena paper, distinct from CRMArena-Pro in the shared repository.</t>
  </si>
  <si>
    <t>22033e5364b4ca5faf71fe29deae181b4c518706</t>
  </si>
  <si>
    <t>https://github.com/SalesforceAIResearch/CRMArena/commit/22033e5364b4ca5faf71fe29deae181b4c518706</t>
  </si>
  <si>
    <t>https://arxiv.org/abs/2503.01935v1</t>
  </si>
  <si>
    <t>https://github.com/ulab-uiuc/MARBLE/tree/8d60fa17b5596b44458a52d4296061b9fc13d6f2</t>
  </si>
  <si>
    <t>https://aclanthology.org/2025.acl-long.421/</t>
  </si>
  <si>
    <t>First release denotes the earliest verified paper submission date or publication month. Input-table value: 2025. The author repository is ulab-uiuc/MARBLE.</t>
  </si>
  <si>
    <t>8d60fa17b5596b44458a52d4296061b9fc13d6f2</t>
  </si>
  <si>
    <t>https://github.com/ulab-uiuc/MARBLE/commit/8d60fa17b5596b44458a52d4296061b9fc13d6f2</t>
  </si>
  <si>
    <t>https://arxiv.org/abs/2505.00212v3</t>
  </si>
  <si>
    <t>https://github.com/ag2ai/Agents_Failure_Attribution/tree/f4d2b6da464a826580e59b3a0eae15ea2d642d7c</t>
  </si>
  <si>
    <t>https://arxiv.org/abs/2505.00212</t>
  </si>
  <si>
    <t>f4d2b6da464a826580e59b3a0eae15ea2d642d7c</t>
  </si>
  <si>
    <t>https://github.com/ag2ai/Agents_Failure_Attribution/commit/f4d2b6da464a826580e59b3a0eae15ea2d642d7c</t>
  </si>
  <si>
    <t>https://arxiv.org/abs/2604.22708v1</t>
  </si>
  <si>
    <t>https://github.com/TraceElephant/TraceElephant/tree/0ce8abb2855de9f454f27f6b0795a4b7e6c8d5fc</t>
  </si>
  <si>
    <t>https://aclanthology.org/2026.acl-long.912/</t>
  </si>
  <si>
    <t>0ce8abb2855de9f454f27f6b0795a4b7e6c8d5fc</t>
  </si>
  <si>
    <t>https://github.com/TraceElephant/TraceElephant/commit/0ce8abb2855de9f454f27f6b0795a4b7e6c8d5fc</t>
  </si>
  <si>
    <t>https://aclanthology.org/2026.findings-acl.1698/</t>
  </si>
  <si>
    <t>No public repository URL identified in the consulted sources</t>
  </si>
  <si>
    <t>The formal ACL paper explicitly introduces MAS-BENCH as a distributed-sorting benchmark. No resolvable code URL was identified in the consulted publication.</t>
  </si>
  <si>
    <t>Publication version verified</t>
  </si>
  <si>
    <t>DOI 10.18653/v1/2026.findings-acl.1698</t>
  </si>
  <si>
    <t>https://arxiv.org/abs/2604.05523v2</t>
  </si>
  <si>
    <t>Author-cited repository: https://github.com/aiben-ch/Market-Bench (HTTP 404 on 2026-10-23)</t>
  </si>
  <si>
    <t>https://aclanthology.org/2026.acl-long.1853/</t>
  </si>
  <si>
    <t>First release denotes the earliest verified paper submission date or publication month. Input-table value: 2026-07. This is the economic-and-trade-competition Market-Bench, distinct from the quantitative-trading benchmark. The paper cites https://github.com/aiben-ch/Market-Bench; that endpoint returned HTTP 404 on the consultation date.</t>
  </si>
  <si>
    <t>2604.05523v2</t>
  </si>
  <si>
    <t>2026-04-19</t>
  </si>
  <si>
    <t>https://arxiv.org/abs/2603.01952v1</t>
  </si>
  <si>
    <t>https://github.com/thanhpv2102/LiveCultureBench/tree/836b121eff225860aafda7e7abfc1a0ac9ef9106</t>
  </si>
  <si>
    <t>https://aclanthology.org/2026.acl-long.1247/</t>
  </si>
  <si>
    <t>First release denotes the earliest verified paper submission date or publication month. Input-table value: 2026-07. The formal ACL 2026 paper title replaces the descriptive title in the input table.</t>
  </si>
  <si>
    <t>836b121eff225860aafda7e7abfc1a0ac9ef9106</t>
  </si>
  <si>
    <t>https://github.com/thanhpv2102/LiveCultureBench/commit/836b121eff225860aafda7e7abfc1a0ac9ef9106</t>
  </si>
  <si>
    <t>https://arxiv.org/abs/2410.09024v3</t>
  </si>
  <si>
    <t>https://github.com/UKGovernmentBEIS/inspect_evals/tree/cac63f6d942ff63c9a0ac1185a026123e62970f4/src/inspect_evals/agentharm</t>
  </si>
  <si>
    <t>https://huggingface.co/datasets/ai-safety-institute/AgentHarm</t>
  </si>
  <si>
    <t>First release denotes the earliest verified paper submission date or publication month. Input-table value: 2025. The AgentHarm implementation is maintained within Inspect Evals; the official dataset is hosted by ai-safety-institute on Hugging Face.</t>
  </si>
  <si>
    <t>cac63f6d942ff63c9a0ac1185a026123e62970f4</t>
  </si>
  <si>
    <t>https://github.com/UKGovernmentBEIS/inspect_evals/commit/cac63f6d942ff63c9a0ac1185a026123e62970f4</t>
  </si>
  <si>
    <t>https://arxiv.org/abs/2410.02644v4</t>
  </si>
  <si>
    <t>https://github.com/agiresearch/ASB/tree/544540ff0788998072f7df463056fd17e62cc9f4</t>
  </si>
  <si>
    <t>https://arxiv.org/abs/2410.02644</t>
  </si>
  <si>
    <t>544540ff0788998072f7df463056fd17e62cc9f4</t>
  </si>
  <si>
    <t>https://github.com/agiresearch/ASB/commit/544540ff0788998072f7df463056fd17e62cc9f4</t>
  </si>
  <si>
    <t>https://arxiv.org/abs/2604.21308v1</t>
  </si>
  <si>
    <t>https://github.com/microsoft/ACV/tree/994ac15db6fff8a5131bbf5a26e84e352e676796/misc/CI-Work</t>
  </si>
  <si>
    <t>https://github.com/microsoft/ACV/blob/994ac15db6fff8a5131bbf5a26e84e352e676796/misc/CI-Work/README.md</t>
  </si>
  <si>
    <t>First release denotes the earliest verified paper submission date or publication month. Input-table value: 2026-07. The CI-Work source is in microsoft/ACV, under misc/CI-Work. The README at the recorded commit explicitly identifies the benchmark.</t>
  </si>
  <si>
    <t>994ac15db6fff8a5131bbf5a26e84e352e676796</t>
  </si>
  <si>
    <t>https://github.com/microsoft/ACV/commit/994ac15db6fff8a5131bbf5a26e84e352e676796</t>
  </si>
  <si>
    <t>https://arxiv.org/abs/2310.06770v3</t>
  </si>
  <si>
    <t>https://github.com/SWE-bench/SWE-bench/tree/02e7a74ffd0b707aab73d203fe87bdc7c76afc8e</t>
  </si>
  <si>
    <t>https://arxiv.org/abs/2310.06770</t>
  </si>
  <si>
    <t>02e7a74ffd0b707aab73d203fe87bdc7c76afc8e</t>
  </si>
  <si>
    <t>https://github.com/SWE-bench/SWE-bench/commit/02e7a74ffd0b707aab73d203fe87bdc7c76afc8e</t>
  </si>
  <si>
    <t>https://arxiv.org/abs/2410.03859v1</t>
  </si>
  <si>
    <t>https://huggingface.co/datasets/SWE-bench/SWE-bench_Multimodal</t>
  </si>
  <si>
    <t>First release denotes the earliest verified paper submission date or publication month. Input-table value: 2025. The framework shares its repository with SWE-bench. The Multimodal dataset and evaluation configuration are distinct.</t>
  </si>
  <si>
    <t>https://arxiv.org/abs/2502.12115v4</t>
  </si>
  <si>
    <t>https://github.com/openai/frontier-evals/tree/b78dab1da774a6456b1ed9c48c9ff194ee3ff36d/project/swelancer</t>
  </si>
  <si>
    <t>https://arxiv.org/abs/2502.12115</t>
  </si>
  <si>
    <t>First release denotes the earliest verified paper submission date or publication month. Input-table value: 2025. The original SWELancer-Benchmark repository redirects users to the shared OpenAI evaluation codebase. The current frontier-evals snapshot and project/swelancer directory are recorded.</t>
  </si>
  <si>
    <t>b78dab1da774a6456b1ed9c48c9ff194ee3ff36d</t>
  </si>
  <si>
    <t>https://github.com/openai/frontier-evals/commit/b78dab1da774a6456b1ed9c48c9ff194ee3ff36d</t>
  </si>
  <si>
    <t>https://arxiv.org/abs/2502.05352v1</t>
  </si>
  <si>
    <t>https://github.com/itbench-hub/ITBench/tree/e35270629b336ea3170c912edf3c4632eba877eb</t>
  </si>
  <si>
    <t>https://arxiv.org/abs/2502.05352</t>
  </si>
  <si>
    <t>e35270629b336ea3170c912edf3c4632eba877eb</t>
  </si>
  <si>
    <t>https://github.com/itbench-hub/ITBench/commit/e35270629b336ea3170c912edf3c4632eba877eb</t>
  </si>
  <si>
    <t>https://arxiv.org/abs/2601.11868v1</t>
  </si>
  <si>
    <t>https://github.com/harbor-framework/terminal-bench/tree/e67a2cb7db4d9795c212909b3395d8c22ad60aec</t>
  </si>
  <si>
    <t>https://arxiv.org/abs/2601.11868</t>
  </si>
  <si>
    <t>First release denotes the earliest verified paper submission date or publication month. Input-table value: 2025–2026. The first-release field records the paper publication timeline. The benchmark platform existed before this paper.</t>
  </si>
  <si>
    <t>e67a2cb7db4d9795c212909b3395d8c22ad60aec</t>
  </si>
  <si>
    <t>https://github.com/harbor-framework/terminal-bench/commit/e67a2cb7db4d9795c212909b3395d8c22ad60aec</t>
  </si>
  <si>
    <t>https://arxiv.org/abs/2409.07440v1</t>
  </si>
  <si>
    <t>https://github.com/allenai/super-benchmark/tree/0c03d77a1114fb9a14ec6d3e2edbcaf254d40a6d</t>
  </si>
  <si>
    <t>https://arxiv.org/abs/2409.07440</t>
  </si>
  <si>
    <t>0c03d77a1114fb9a14ec6d3e2edbcaf254d40a6d</t>
  </si>
  <si>
    <t>https://github.com/allenai/super-benchmark/commit/0c03d77a1114fb9a14ec6d3e2edbcaf254d40a6d</t>
  </si>
  <si>
    <t>https://arxiv.org/abs/2409.11363v2</t>
  </si>
  <si>
    <t>https://github.com/siegelz/core-bench/tree/e32a2980e72fe6eb04ee04eb749458f570625663</t>
  </si>
  <si>
    <t>https://arxiv.org/abs/2409.11363</t>
  </si>
  <si>
    <t>First release denotes the earliest verified paper submission date or publication month. Input-table value: 2024. This is the computational-reproducibility CORE-Bench, distinct from a later code-retrieval benchmark with the same name.</t>
  </si>
  <si>
    <t>e32a2980e72fe6eb04ee04eb749458f570625663</t>
  </si>
  <si>
    <t>https://github.com/siegelz/core-bench/commit/e32a2980e72fe6eb04ee04eb749458f570625663</t>
  </si>
  <si>
    <t>https://arxiv.org/abs/2410.05080v3</t>
  </si>
  <si>
    <t>https://github.com/OSU-NLP-Group/ScienceAgentBench/tree/c26e151ed601ba109dc4d35e057ff8e73fec469d</t>
  </si>
  <si>
    <t>https://arxiv.org/abs/2410.05080</t>
  </si>
  <si>
    <t>c26e151ed601ba109dc4d35e057ff8e73fec469d</t>
  </si>
  <si>
    <t>https://github.com/OSU-NLP-Group/ScienceAgentBench/commit/c26e151ed601ba109dc4d35e057ff8e73fec469d</t>
  </si>
  <si>
    <t>https://arxiv.org/abs/2504.01848v3</t>
  </si>
  <si>
    <t>https://github.com/openai/frontier-evals/tree/b78dab1da774a6456b1ed9c48c9ff194ee3ff36d/project/paperbench</t>
  </si>
  <si>
    <t>https://arxiv.org/abs/2504.01848</t>
  </si>
  <si>
    <t>First release denotes the earliest verified paper submission date or publication month. Input-table value: 2025. The former openai/preparedness repository is now openai/frontier-evals. PaperBench is in project/paperbench.</t>
  </si>
  <si>
    <t>https://arxiv.org/abs/2506.22598v3</t>
  </si>
  <si>
    <t>https://github.com/tinlaboratory/RExBench/tree/b77f1e887257cee577a5384b74f7899b6b006523</t>
  </si>
  <si>
    <t>https://aclanthology.org/2026.acl-long.745/</t>
  </si>
  <si>
    <t>First release denotes the earliest verified paper submission date or publication month. Input-table value: 2026-07. The formal paper title replaces the descriptive title in the input table.</t>
  </si>
  <si>
    <t>b77f1e887257cee577a5384b74f7899b6b006523</t>
  </si>
  <si>
    <t>https://github.com/tinlaboratory/RExBench/commit/b77f1e887257cee577a5384b74f7899b6b006523</t>
  </si>
  <si>
    <t>https://arxiv.org/abs/2502.13897v1</t>
  </si>
  <si>
    <t>https://github.com/THUDM/DataSciBench/tree/84ef3d4d94d7362a5149cf14a73dc168fc4f2f33</t>
  </si>
  <si>
    <t>https://aclanthology.org/2026.findings-acl.181/</t>
  </si>
  <si>
    <t>84ef3d4d94d7362a5149cf14a73dc168fc4f2f33</t>
  </si>
  <si>
    <t>https://github.com/THUDM/DataSciBench/commit/84ef3d4d94d7362a5149cf14a73dc168fc4f2f33</t>
  </si>
  <si>
    <t>https://aclanthology.org/2026.acl-long.1556/</t>
  </si>
  <si>
    <t>First release denotes the earliest verified paper submission date or publication month. Input-table value: 2026-07. The formal ACL 2026 publication is the version evidence. No repository URL was identified in the consulted publication or exact-name repository search.</t>
  </si>
  <si>
    <t>DOI 10.18653/v1/2026.acl-long.1556</t>
  </si>
  <si>
    <t>https://arxiv.org/abs/2511.22884v2</t>
  </si>
  <si>
    <t>https://github.com/zhenghaozhu23/InsightEval/tree/7bf3e160bb4eefb4cf6a0c878f0e5656bdcdf6be</t>
  </si>
  <si>
    <t>https://github.com/zhenghaozhu23/InsightEval/blob/7bf3e160bb4eefb4cf6a0c878f0e5656bdcdf6be/README.md</t>
  </si>
  <si>
    <t>First release denotes the earliest verified paper submission date or publication month. Input-table value: 2026-07. The author repository zhenghaozhu23/InsightEval explicitly cites this Findings of ACL 2026 paper. It is distinct from gomate-community/InsightEval.</t>
  </si>
  <si>
    <t>7bf3e160bb4eefb4cf6a0c878f0e5656bdcdf6be</t>
  </si>
  <si>
    <t>https://github.com/zhenghaozhu23/InsightEval/commit/7bf3e160bb4eefb4cf6a0c878f0e5656bdcdf6be</t>
  </si>
  <si>
    <t>https://arxiv.org/abs/2412.18174v1</t>
  </si>
  <si>
    <t>https://github.com/felis33/INVESTOR-BENCH/tree/87e0f7bc83baf7d89fbdc1a51f92458f8d4ee11a</t>
  </si>
  <si>
    <t>https://aclanthology.org/2025.acl-long.126/</t>
  </si>
  <si>
    <t>First release denotes the earliest verified paper submission date or publication month. Input-table value: 2025-07. The formal ACL publication title is used.</t>
  </si>
  <si>
    <t>87e0f7bc83baf7d89fbdc1a51f92458f8d4ee11a</t>
  </si>
  <si>
    <t>https://github.com/felis33/INVESTOR-BENCH/commit/87e0f7bc83baf7d89fbdc1a51f92458f8d4ee11a</t>
  </si>
  <si>
    <t>https://arxiv.org/abs/2601.22027v1</t>
  </si>
  <si>
    <t>https://github.com/CAR-bench/car-bench/tree/ce6dc9d08f4ff81eb4c1a5c317aff25112ee950b</t>
  </si>
  <si>
    <t>https://arxiv.org/abs/2601.22027</t>
  </si>
  <si>
    <t>ce6dc9d08f4ff81eb4c1a5c317aff25112ee950b</t>
  </si>
  <si>
    <t>https://github.com/CAR-bench/car-bench/commit/ce6dc9d08f4ff81eb4c1a5c317aff25112ee950b</t>
  </si>
  <si>
    <t>https://arxiv.org/abs/2601.11044v4</t>
  </si>
  <si>
    <t>https://github.com/GAIR-NLP/AgencyBench/tree/ec65324be69e81bd4fe394ef6a86d48b8fa5da56</t>
  </si>
  <si>
    <t>https://aclanthology.org/2026.acl-long.337/</t>
  </si>
  <si>
    <t>ec65324be69e81bd4fe394ef6a86d48b8fa5da56</t>
  </si>
  <si>
    <t>https://github.com/GAIR-NLP/AgencyBench/commit/ec65324be69e81bd4fe394ef6a86d48b8fa5da56</t>
  </si>
  <si>
    <t>https://aclanthology.org/2026.acl-long.2058/</t>
  </si>
  <si>
    <t>https://github.com/hotdog-zz/Agentgym2/tree/e5cbc49852a5eaaf6fdbc1ebcdd796e1c02a0848</t>
  </si>
  <si>
    <t>e5cbc49852a5eaaf6fdbc1ebcdd796e1c02a0848</t>
  </si>
  <si>
    <t>https://github.com/hotdog-zz/Agentgym2/commit/e5cbc49852a5eaaf6fdbc1ebcdd796e1c02a0848</t>
  </si>
  <si>
    <t>Version identifier</t>
  </si>
  <si>
    <t>Version timestamp (UTC)</t>
  </si>
  <si>
    <t>Version evidence URL</t>
  </si>
  <si>
    <t>First released (paper)</t>
  </si>
  <si>
    <t>Code or dataset snapshot link</t>
  </si>
  <si>
    <t>Other materials consulted</t>
  </si>
  <si>
    <t>Verification status</t>
  </si>
  <si>
    <t>MINT: Evaluating LLMs in Multi-turn Interaction with Tools and Language Feedback</t>
  </si>
  <si>
    <t>2023-09-19</t>
  </si>
  <si>
    <t>2022-06-21</t>
  </si>
  <si>
    <t>2024-06-21</t>
  </si>
  <si>
    <t>2024-02-02</t>
  </si>
  <si>
    <t>2023-12-11</t>
  </si>
  <si>
    <t>2023-09-25</t>
  </si>
  <si>
    <t>2023-04-14</t>
  </si>
  <si>
    <t>ToolLLM: Facilitating Large Language Models to Master 16000+ Real-world APIs</t>
  </si>
  <si>
    <t>2023-07-31</t>
  </si>
  <si>
    <t>2024-08-08</t>
  </si>
  <si>
    <t>2024-12-21</t>
  </si>
  <si>
    <t>2024-03-12</t>
  </si>
  <si>
    <t>2024-09-04</t>
  </si>
  <si>
    <t>2024-06-17</t>
  </si>
  <si>
    <t>2025-06-09</t>
  </si>
  <si>
    <t>MCP-Atlas: A Large-Scale Benchmark for Tool-Use Competency with Real MCP Servers</t>
  </si>
  <si>
    <t>2026-01-31</t>
  </si>
  <si>
    <t>The Tool Decathlon: Benchmarking Language Agents for Diverse, Realistic, and Long-Horizon Task Execution</t>
  </si>
  <si>
    <t>2025-10-29</t>
  </si>
  <si>
    <t>Towards Preference Following in Tool Calling Language Agents</t>
  </si>
  <si>
    <t>GOAT: A Training Framework for Goal-Oriented Agent with Tools</t>
  </si>
  <si>
    <t>2025-10-14</t>
  </si>
  <si>
    <t>2023-06-09</t>
  </si>
  <si>
    <t>2023-07-25</t>
  </si>
  <si>
    <t>2024-01-25</t>
  </si>
  <si>
    <t>2024-02-08</t>
  </si>
  <si>
    <t>2024-01-24</t>
  </si>
  <si>
    <t>2024-04-15</t>
  </si>
  <si>
    <t>2024-07-22</t>
  </si>
  <si>
    <t>2024-06-18</t>
  </si>
  <si>
    <t>2024-10-09</t>
  </si>
  <si>
    <t>2024-07-07</t>
  </si>
  <si>
    <t>2024-04-11</t>
  </si>
  <si>
    <t>2025-04-04</t>
  </si>
  <si>
    <t>2024-09-12</t>
  </si>
  <si>
    <t>2024-02-27</t>
  </si>
  <si>
    <t>2025-03-06</t>
  </si>
  <si>
    <t>2025-09-08</t>
  </si>
  <si>
    <t>2024-10-14</t>
  </si>
  <si>
    <t>2025-06-20</t>
  </si>
  <si>
    <t>Evaluating Memory in LLM Agents via Incremental Multi-Turn Interactions</t>
  </si>
  <si>
    <t>2025-07-07</t>
  </si>
  <si>
    <t>2026-02-11</t>
  </si>
  <si>
    <t>GAIA: a benchmark for General AI Assistants</t>
  </si>
  <si>
    <t>2023-11-21</t>
  </si>
  <si>
    <t>2023-08-07</t>
  </si>
  <si>
    <t>2024-07-26</t>
  </si>
  <si>
    <t>2024-12-18</t>
  </si>
  <si>
    <t>2024-11-04</t>
  </si>
  <si>
    <t>MultiAgentBench: Evaluating the Collaboration and Competition of LLM agents</t>
  </si>
  <si>
    <t>2025-03-03</t>
  </si>
  <si>
    <t>2025-04-30</t>
  </si>
  <si>
    <t>2026-04-24</t>
  </si>
  <si>
    <t>When 20 Agents Fail to Sort: The Distributed Sorting Benchmark for Scalable Multi-Agent Systems</t>
  </si>
  <si>
    <t>2026-04-07</t>
  </si>
  <si>
    <t>LiveCultureBench: a Multi-Agent, Multi-Cultural Benchmark for Large Language Models in Dynamic Social Simulations</t>
  </si>
  <si>
    <t>2026-03-02</t>
  </si>
  <si>
    <t>2024-10-11</t>
  </si>
  <si>
    <t>2024-10-03</t>
  </si>
  <si>
    <t>2026-04-23</t>
  </si>
  <si>
    <t>2023-10-10</t>
  </si>
  <si>
    <t>2024-10-04</t>
  </si>
  <si>
    <t>2025-02-17</t>
  </si>
  <si>
    <t>2025-02-07</t>
  </si>
  <si>
    <t>2026-01-17</t>
  </si>
  <si>
    <t>2024-09-11</t>
  </si>
  <si>
    <t>CORE-Bench: Fostering the Credibility of Published Research Through a Computational Reproducibility Agent Benchmark</t>
  </si>
  <si>
    <t>2024-09-17</t>
  </si>
  <si>
    <t>2024-10-07</t>
  </si>
  <si>
    <t>2025-04-02</t>
  </si>
  <si>
    <t>RExBench: Can coding agents autonomously implement AI research extensions?</t>
  </si>
  <si>
    <t>2025-06-27</t>
  </si>
  <si>
    <t>2025-02-19</t>
  </si>
  <si>
    <t>UniDataBench: Evaluating Data Analytics Agents Across Structured and Unstructured Data</t>
  </si>
  <si>
    <t>2025-11-03</t>
  </si>
  <si>
    <t>InsightEval: An Expert-Curated Benchmark for Assessing Insight Discovery in LLM-Driven Data Agents</t>
  </si>
  <si>
    <t>2025-11-28</t>
  </si>
  <si>
    <t>INVESTORBENCH: A Benchmark for Financial Decision-Making Tasks with LLM-based Agent</t>
  </si>
  <si>
    <t>2024-12-24</t>
  </si>
  <si>
    <t>CAR-bench: Evaluating the Consistency and Limit-Awareness of LLM Agents under Real-World Uncertainty</t>
  </si>
  <si>
    <t>2026-01-29</t>
  </si>
  <si>
    <t>2026-01-16</t>
  </si>
  <si>
    <t>2026-07-06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</si>
</sst>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m\-dd"/>
    <numFmt numFmtId="177" formatCode="yyyy\-mm\-dd\ hh:mm:ss&quot; UTC&quot;"/>
    <numFmt numFmtId="178" formatCode="yyyy\-mm"/>
  </numFmts>
  <fonts count="8">
    <font>
      <sz val="11"/>
      <color theme="1"/>
      <name val="宋体"/>
      <family val="2"/>
      <scheme val="minor"/>
    </font>
    <font>
      <b/>
      <sz val="13"/>
      <name val="宋体"/>
      <family val="3"/>
      <charset val="134"/>
    </font>
    <font>
      <b/>
      <sz val="11"/>
      <color rgb="FFFFFFFF"/>
      <name val="宋体"/>
      <family val="3"/>
      <charset val="134"/>
    </font>
    <font>
      <b/>
      <sz val="11"/>
      <name val="宋体"/>
      <family val="3"/>
      <charset val="134"/>
    </font>
    <font>
      <sz val="9"/>
      <name val="宋体"/>
      <family val="3"/>
      <charset val="134"/>
      <scheme val="minor"/>
    </font>
    <font>
      <sz val="11"/>
      <name val="Carlito"/>
    </font>
    <font>
      <sz val="11"/>
      <color rgb="FF26384B"/>
      <name val="Arial"/>
      <family val="2"/>
    </font>
    <font>
      <b/>
      <sz val="11"/>
      <color rgb="FFFFFFFF"/>
      <name val="Arial"/>
      <family val="2"/>
    </font>
  </fonts>
  <fills count="7">
    <fill>
      <patternFill patternType="none"/>
    </fill>
    <fill>
      <patternFill patternType="gray125"/>
    </fill>
    <fill>
      <patternFill patternType="solid">
        <fgColor rgb="FF2F5597"/>
      </patternFill>
    </fill>
    <fill>
      <patternFill patternType="solid">
        <fgColor rgb="FFEDEDED"/>
      </patternFill>
    </fill>
    <fill>
      <patternFill patternType="solid">
        <fgColor rgb="FFFFF2CC"/>
      </patternFill>
    </fill>
    <fill>
      <patternFill patternType="solid">
        <fgColor rgb="FFF2F5F8"/>
      </patternFill>
    </fill>
    <fill>
      <patternFill patternType="solid">
        <fgColor rgb="FF253E5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5" fillId="0" borderId="0"/>
  </cellStyleXfs>
  <cellXfs count="22">
    <xf numFmtId="0" fontId="0" fillId="0" borderId="0" xfId="0"/>
    <xf numFmtId="0" fontId="1" fillId="0" borderId="0" xfId="0" applyFont="1" applyAlignment="1">
      <alignment wrapText="1"/>
    </xf>
    <xf numFmtId="0" fontId="0" fillId="0" borderId="0" xfId="0" applyAlignment="1">
      <alignment wrapText="1"/>
    </xf>
    <xf numFmtId="0" fontId="2" fillId="2" borderId="0" xfId="0" applyFont="1" applyFill="1"/>
    <xf numFmtId="0" fontId="0" fillId="0" borderId="0" xfId="0" applyAlignment="1">
      <alignment vertical="top" wrapText="1"/>
    </xf>
    <xf numFmtId="0" fontId="2" fillId="2" borderId="1" xfId="0" applyFont="1" applyFill="1" applyBorder="1" applyAlignment="1">
      <alignment horizontal="center" vertical="center" wrapText="1"/>
    </xf>
    <xf numFmtId="0" fontId="0" fillId="3" borderId="1" xfId="0" applyFill="1" applyBorder="1"/>
    <xf numFmtId="0" fontId="0" fillId="4" borderId="1" xfId="0" applyFill="1" applyBorder="1" applyAlignment="1">
      <alignment vertical="top" wrapText="1"/>
    </xf>
    <xf numFmtId="0" fontId="0" fillId="3" borderId="0" xfId="0" applyFill="1"/>
    <xf numFmtId="0" fontId="3" fillId="0" borderId="0" xfId="0" applyFont="1" applyAlignment="1">
      <alignment vertical="top" wrapText="1"/>
    </xf>
    <xf numFmtId="0" fontId="0" fillId="4" borderId="0" xfId="0" applyFill="1" applyAlignment="1">
      <alignment vertical="top" wrapText="1"/>
    </xf>
    <xf numFmtId="0" fontId="0" fillId="0" borderId="0" xfId="0" applyAlignment="1">
      <alignment vertical="top" wrapText="1"/>
    </xf>
    <xf numFmtId="0" fontId="0" fillId="0" borderId="0" xfId="0"/>
    <xf numFmtId="0" fontId="7" fillId="6" borderId="0" xfId="1" applyFont="1" applyFill="1" applyAlignment="1">
      <alignment horizontal="center" vertical="center" wrapText="1"/>
    </xf>
    <xf numFmtId="0" fontId="6" fillId="5" borderId="0" xfId="1" applyFont="1" applyFill="1" applyAlignment="1">
      <alignment vertical="top" wrapText="1"/>
    </xf>
    <xf numFmtId="176" fontId="6" fillId="5" borderId="0" xfId="1" applyNumberFormat="1" applyFont="1" applyFill="1" applyAlignment="1">
      <alignment vertical="top" wrapText="1"/>
    </xf>
    <xf numFmtId="177" fontId="6" fillId="5" borderId="0" xfId="1" applyNumberFormat="1" applyFont="1" applyFill="1" applyAlignment="1">
      <alignment vertical="top" wrapText="1"/>
    </xf>
    <xf numFmtId="0" fontId="6" fillId="0" borderId="0" xfId="1" applyFont="1" applyAlignment="1">
      <alignment vertical="top" wrapText="1"/>
    </xf>
    <xf numFmtId="176" fontId="6" fillId="0" borderId="0" xfId="1" applyNumberFormat="1" applyFont="1" applyAlignment="1">
      <alignment vertical="top" wrapText="1"/>
    </xf>
    <xf numFmtId="177" fontId="6" fillId="0" borderId="0" xfId="1" applyNumberFormat="1" applyFont="1" applyAlignment="1">
      <alignment vertical="top" wrapText="1"/>
    </xf>
    <xf numFmtId="178" fontId="6" fillId="0" borderId="0" xfId="1" applyNumberFormat="1" applyFont="1" applyAlignment="1">
      <alignment vertical="top" wrapText="1"/>
    </xf>
    <xf numFmtId="178" fontId="6" fillId="5" borderId="0" xfId="1" applyNumberFormat="1" applyFont="1" applyFill="1" applyAlignment="1">
      <alignment vertical="top" wrapText="1"/>
    </xf>
  </cellXfs>
  <cellStyles count="2">
    <cellStyle name="Normal" xfId="1" xr:uid="{CD876C72-68A9-4A91-B81D-7A0D154127AE}"/>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14C2D4-A8C4-4BBC-BB56-0FDF957C5944}" name="LiteratureTable" displayName="LiteratureTable" ref="A1:O75" totalsRowShown="0">
  <tableColumns count="15">
    <tableColumn id="1" xr3:uid="{B5980DC7-C5F4-4D1E-9712-0C65930A77AB}" name="Benchmark ID"/>
    <tableColumn id="2" xr3:uid="{76AED139-5185-474D-8F8D-6C7E00D1EE2B}" name="Benchmark name"/>
    <tableColumn id="3" xr3:uid="{3DD2A7F9-91B2-45CA-BEF2-36B2C9C8F4E7}" name="Paper title"/>
    <tableColumn id="4" xr3:uid="{760BD705-7F2A-40B5-A731-BBD9DC5BAFA3}" name="First released (paper)"/>
    <tableColumn id="5" xr3:uid="{D5B9D420-EE9C-4B62-A073-E843EBBFB0CD}" name="Venue"/>
    <tableColumn id="6" xr3:uid="{AA518C5E-4CD0-41F0-91EA-D6F76126D081}" name="Verification level"/>
    <tableColumn id="7" xr3:uid="{55ECA8E9-AD0F-497D-A518-01BAC5E6E9DD}" name="Paper version or DOI link"/>
    <tableColumn id="8" xr3:uid="{D02235D1-AC1D-4DA3-819E-D9921E61D9A3}" name="Code or dataset snapshot link"/>
    <tableColumn id="9" xr3:uid="{2F87F14D-3A6B-4E94-9AD5-363CE29B558E}" name="Other materials consulted"/>
    <tableColumn id="10" xr3:uid="{928679BA-BAA1-47AA-8B20-D8A64FDD49A6}" name="Date consulted"/>
    <tableColumn id="11" xr3:uid="{8ADB2E09-9260-4A08-A843-C425D3D24D55}" name="Notes"/>
    <tableColumn id="12" xr3:uid="{415036A2-C76E-42B2-9080-65A163F66605}" name="Verification status"/>
    <tableColumn id="13" xr3:uid="{585FA625-17B7-462A-A885-970BAAB6D547}" name="Version identifier"/>
    <tableColumn id="14" xr3:uid="{C466B5EC-F22B-4ADC-A1BF-96607419BF4B}" name="Version timestamp (UTC)"/>
    <tableColumn id="15" xr3:uid="{03961FF3-D923-4BF7-B0B3-D7C4718193CA}" name="Version evidence UR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2"/>
  <sheetViews>
    <sheetView topLeftCell="A10" workbookViewId="0">
      <selection activeCell="C17" sqref="C17"/>
    </sheetView>
  </sheetViews>
  <sheetFormatPr defaultRowHeight="13.5"/>
  <cols>
    <col min="1" max="1" width="30" customWidth="1"/>
    <col min="2" max="2" width="55" customWidth="1"/>
    <col min="3" max="3" width="70" customWidth="1"/>
  </cols>
  <sheetData>
    <row r="1" spans="1:3" ht="30" customHeight="1">
      <c r="A1" s="1" t="s">
        <v>0</v>
      </c>
    </row>
    <row r="2" spans="1:3">
      <c r="A2" s="2"/>
    </row>
    <row r="3" spans="1:3" ht="40.5" customHeight="1">
      <c r="A3" s="2" t="s">
        <v>1</v>
      </c>
    </row>
    <row r="4" spans="1:3" ht="54" customHeight="1">
      <c r="A4" s="2" t="s">
        <v>2</v>
      </c>
    </row>
    <row r="5" spans="1:3" ht="54" customHeight="1">
      <c r="A5" s="2" t="s">
        <v>3</v>
      </c>
    </row>
    <row r="6" spans="1:3" ht="54" customHeight="1">
      <c r="A6" s="2" t="s">
        <v>4</v>
      </c>
    </row>
    <row r="7" spans="1:3" ht="67.5" customHeight="1">
      <c r="A7" s="2" t="s">
        <v>5</v>
      </c>
    </row>
    <row r="8" spans="1:3" ht="54" customHeight="1">
      <c r="A8" s="2" t="s">
        <v>6</v>
      </c>
    </row>
    <row r="9" spans="1:3" ht="40.5" customHeight="1">
      <c r="A9" s="2" t="s">
        <v>7</v>
      </c>
    </row>
    <row r="10" spans="1:3" ht="40.5" customHeight="1">
      <c r="A10" s="2" t="s">
        <v>8</v>
      </c>
    </row>
    <row r="11" spans="1:3">
      <c r="A11" s="2"/>
    </row>
    <row r="12" spans="1:3">
      <c r="A12" s="3" t="s">
        <v>9</v>
      </c>
      <c r="B12" s="3" t="s">
        <v>10</v>
      </c>
      <c r="C12" s="3" t="s">
        <v>11</v>
      </c>
    </row>
    <row r="13" spans="1:3" ht="27" customHeight="1">
      <c r="A13" t="s">
        <v>12</v>
      </c>
      <c r="B13" s="4" t="s">
        <v>13</v>
      </c>
      <c r="C13" s="4" t="s">
        <v>14</v>
      </c>
    </row>
    <row r="14" spans="1:3" ht="27" customHeight="1">
      <c r="A14" t="s">
        <v>15</v>
      </c>
      <c r="B14" s="4" t="s">
        <v>16</v>
      </c>
      <c r="C14" s="4" t="s">
        <v>17</v>
      </c>
    </row>
    <row r="15" spans="1:3" ht="27" customHeight="1">
      <c r="A15" t="s">
        <v>18</v>
      </c>
      <c r="B15" s="4" t="s">
        <v>19</v>
      </c>
      <c r="C15" s="4" t="s">
        <v>20</v>
      </c>
    </row>
    <row r="16" spans="1:3" ht="27" customHeight="1">
      <c r="A16" t="s">
        <v>21</v>
      </c>
      <c r="B16" s="4" t="s">
        <v>22</v>
      </c>
      <c r="C16" s="4" t="s">
        <v>23</v>
      </c>
    </row>
    <row r="17" spans="1:3" ht="27" customHeight="1">
      <c r="A17" t="s">
        <v>24</v>
      </c>
      <c r="B17" s="4" t="s">
        <v>25</v>
      </c>
      <c r="C17" s="4" t="s">
        <v>26</v>
      </c>
    </row>
    <row r="18" spans="1:3" ht="27" customHeight="1">
      <c r="A18" t="s">
        <v>27</v>
      </c>
      <c r="B18" s="4" t="s">
        <v>28</v>
      </c>
      <c r="C18" s="4" t="s">
        <v>29</v>
      </c>
    </row>
    <row r="19" spans="1:3" ht="27" customHeight="1">
      <c r="A19" t="s">
        <v>30</v>
      </c>
      <c r="B19" s="4" t="s">
        <v>31</v>
      </c>
      <c r="C19" s="4" t="s">
        <v>32</v>
      </c>
    </row>
    <row r="20" spans="1:3" ht="27" customHeight="1">
      <c r="A20" t="s">
        <v>33</v>
      </c>
      <c r="B20" s="4" t="s">
        <v>34</v>
      </c>
      <c r="C20" s="4" t="s">
        <v>35</v>
      </c>
    </row>
    <row r="21" spans="1:3" ht="27" customHeight="1">
      <c r="A21" t="s">
        <v>36</v>
      </c>
      <c r="B21" s="4" t="s">
        <v>37</v>
      </c>
      <c r="C21" s="4" t="s">
        <v>38</v>
      </c>
    </row>
    <row r="22" spans="1:3" ht="27" customHeight="1">
      <c r="A22" t="s">
        <v>39</v>
      </c>
      <c r="B22" s="4" t="s">
        <v>40</v>
      </c>
      <c r="C22" s="4" t="s">
        <v>41</v>
      </c>
    </row>
    <row r="24" spans="1:3">
      <c r="A24" s="3" t="s">
        <v>42</v>
      </c>
      <c r="B24" s="3" t="s">
        <v>43</v>
      </c>
    </row>
    <row r="25" spans="1:3">
      <c r="A25" t="s">
        <v>44</v>
      </c>
      <c r="B25" s="11" t="s">
        <v>45</v>
      </c>
      <c r="C25" s="12"/>
    </row>
    <row r="26" spans="1:3">
      <c r="A26" t="s">
        <v>46</v>
      </c>
      <c r="B26" s="11" t="s">
        <v>47</v>
      </c>
      <c r="C26" s="12"/>
    </row>
    <row r="27" spans="1:3">
      <c r="A27" t="s">
        <v>48</v>
      </c>
      <c r="B27" s="11" t="s">
        <v>49</v>
      </c>
      <c r="C27" s="12"/>
    </row>
    <row r="28" spans="1:3">
      <c r="A28" t="s">
        <v>50</v>
      </c>
      <c r="B28" s="11" t="s">
        <v>51</v>
      </c>
      <c r="C28" s="12"/>
    </row>
    <row r="29" spans="1:3">
      <c r="A29" t="s">
        <v>52</v>
      </c>
      <c r="B29" s="11" t="s">
        <v>53</v>
      </c>
      <c r="C29" s="12"/>
    </row>
    <row r="30" spans="1:3">
      <c r="A30" t="s">
        <v>54</v>
      </c>
      <c r="B30" s="11" t="s">
        <v>55</v>
      </c>
      <c r="C30" s="12"/>
    </row>
    <row r="31" spans="1:3">
      <c r="A31" t="s">
        <v>56</v>
      </c>
      <c r="B31" s="11" t="s">
        <v>57</v>
      </c>
      <c r="C31" s="12"/>
    </row>
    <row r="32" spans="1:3">
      <c r="A32" t="s">
        <v>58</v>
      </c>
      <c r="B32" s="11" t="s">
        <v>59</v>
      </c>
      <c r="C32" s="12"/>
    </row>
  </sheetData>
  <mergeCells count="8">
    <mergeCell ref="B30:C30"/>
    <mergeCell ref="B29:C29"/>
    <mergeCell ref="B25:C25"/>
    <mergeCell ref="B28:C28"/>
    <mergeCell ref="B32:C32"/>
    <mergeCell ref="B31:C31"/>
    <mergeCell ref="B26:C26"/>
    <mergeCell ref="B27:C27"/>
  </mergeCells>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741"/>
  <sheetViews>
    <sheetView topLeftCell="B1" zoomScale="85" zoomScaleNormal="85" workbookViewId="0">
      <pane ySplit="1" topLeftCell="A206" activePane="bottomLeft" state="frozen"/>
      <selection pane="bottomLeft" activeCell="M24" sqref="M24"/>
    </sheetView>
  </sheetViews>
  <sheetFormatPr defaultRowHeight="13.5"/>
  <cols>
    <col min="1" max="1" width="6" customWidth="1"/>
    <col min="2" max="2" width="8" customWidth="1"/>
    <col min="3" max="3" width="18" customWidth="1"/>
    <col min="4" max="4" width="8" customWidth="1"/>
    <col min="5" max="5" width="18" customWidth="1"/>
    <col min="6" max="6" width="10" customWidth="1"/>
    <col min="7" max="7" width="14" customWidth="1"/>
    <col min="8" max="8" width="10" customWidth="1"/>
    <col min="9" max="9" width="14" customWidth="1"/>
    <col min="10" max="11" width="40" customWidth="1"/>
    <col min="12" max="12" width="10" customWidth="1"/>
    <col min="13" max="13" width="12" customWidth="1"/>
    <col min="14" max="14" width="16" customWidth="1"/>
  </cols>
  <sheetData>
    <row r="1" spans="1:14" ht="27" customHeight="1">
      <c r="A1" s="5" t="s">
        <v>60</v>
      </c>
      <c r="B1" s="5" t="s">
        <v>61</v>
      </c>
      <c r="C1" s="5" t="s">
        <v>62</v>
      </c>
      <c r="D1" s="5" t="s">
        <v>63</v>
      </c>
      <c r="E1" s="5" t="s">
        <v>9</v>
      </c>
      <c r="F1" s="5" t="s">
        <v>64</v>
      </c>
      <c r="G1" s="5" t="s">
        <v>65</v>
      </c>
      <c r="H1" s="5" t="s">
        <v>66</v>
      </c>
      <c r="I1" s="5" t="s">
        <v>67</v>
      </c>
      <c r="J1" s="5" t="s">
        <v>68</v>
      </c>
      <c r="K1" s="5" t="s">
        <v>69</v>
      </c>
      <c r="L1" s="5" t="s">
        <v>70</v>
      </c>
      <c r="M1" s="5" t="s">
        <v>71</v>
      </c>
      <c r="N1" s="5" t="s">
        <v>72</v>
      </c>
    </row>
    <row r="2" spans="1:14" ht="40.5" customHeight="1">
      <c r="A2" s="6">
        <v>1</v>
      </c>
      <c r="B2" s="6" t="s">
        <v>73</v>
      </c>
      <c r="C2" s="6" t="s">
        <v>74</v>
      </c>
      <c r="D2" s="6" t="s">
        <v>75</v>
      </c>
      <c r="E2" s="6" t="s">
        <v>76</v>
      </c>
      <c r="F2" s="7" t="s">
        <v>77</v>
      </c>
      <c r="G2" s="7"/>
      <c r="H2" s="7" t="s">
        <v>78</v>
      </c>
      <c r="I2" s="7"/>
      <c r="J2" s="7" t="s">
        <v>79</v>
      </c>
      <c r="K2" s="7" t="s">
        <v>80</v>
      </c>
      <c r="L2" s="7" t="s">
        <v>81</v>
      </c>
      <c r="M2" s="8" t="str">
        <f t="shared" ref="M2:M65" si="0">IF(F2="Not applicable","NA",IF(F2="Applicable",IF(H2="","",H2),""))</f>
        <v>D</v>
      </c>
      <c r="N2" s="8" t="str">
        <f t="shared" ref="N2:N65" si="1">IF(F2="","Applicability missing",IF(AND(F2="Applicable",H2=""),"Record status missing",IF(AND(F2="Applicable",G2&lt;&gt;""),"Boundary strength must be blank for applicable rows",IF(AND(F2="Not applicable",G2=""),"Boundary strength missing",IF(AND(F2="Not applicable",H2&lt;&gt;""),"Record status must be blank for not-applicable rows",IF(AND(H2="R",I2=""),"Recovery stability missing",IF(J2="","Evidence location missing","Complete")))))))</f>
        <v>Complete</v>
      </c>
    </row>
    <row r="3" spans="1:14" ht="40.5" customHeight="1">
      <c r="A3" s="6">
        <v>2</v>
      </c>
      <c r="B3" s="6" t="s">
        <v>73</v>
      </c>
      <c r="C3" s="6" t="s">
        <v>74</v>
      </c>
      <c r="D3" s="6" t="s">
        <v>82</v>
      </c>
      <c r="E3" s="6" t="s">
        <v>83</v>
      </c>
      <c r="F3" s="7" t="s">
        <v>77</v>
      </c>
      <c r="G3" s="7"/>
      <c r="H3" s="7" t="s">
        <v>78</v>
      </c>
      <c r="I3" s="7"/>
      <c r="J3" s="7" t="s">
        <v>84</v>
      </c>
      <c r="K3" s="7" t="s">
        <v>85</v>
      </c>
      <c r="L3" s="7" t="s">
        <v>81</v>
      </c>
      <c r="M3" s="8" t="str">
        <f t="shared" si="0"/>
        <v>D</v>
      </c>
      <c r="N3" s="8" t="str">
        <f t="shared" si="1"/>
        <v>Complete</v>
      </c>
    </row>
    <row r="4" spans="1:14" ht="27" customHeight="1">
      <c r="A4" s="6">
        <v>3</v>
      </c>
      <c r="B4" s="6" t="s">
        <v>73</v>
      </c>
      <c r="C4" s="6" t="s">
        <v>74</v>
      </c>
      <c r="D4" s="6" t="s">
        <v>86</v>
      </c>
      <c r="E4" s="6" t="s">
        <v>87</v>
      </c>
      <c r="F4" s="7" t="s">
        <v>77</v>
      </c>
      <c r="G4" s="7"/>
      <c r="H4" s="7" t="s">
        <v>88</v>
      </c>
      <c r="I4" s="7" t="s">
        <v>89</v>
      </c>
      <c r="J4" s="7" t="s">
        <v>90</v>
      </c>
      <c r="K4" s="7" t="s">
        <v>91</v>
      </c>
      <c r="L4" s="7" t="s">
        <v>81</v>
      </c>
      <c r="M4" s="8" t="str">
        <f t="shared" si="0"/>
        <v>R</v>
      </c>
      <c r="N4" s="8" t="str">
        <f t="shared" si="1"/>
        <v>Complete</v>
      </c>
    </row>
    <row r="5" spans="1:14" ht="27" customHeight="1">
      <c r="A5" s="6">
        <v>4</v>
      </c>
      <c r="B5" s="6" t="s">
        <v>73</v>
      </c>
      <c r="C5" s="6" t="s">
        <v>74</v>
      </c>
      <c r="D5" s="6" t="s">
        <v>92</v>
      </c>
      <c r="E5" s="6" t="s">
        <v>93</v>
      </c>
      <c r="F5" s="7" t="s">
        <v>77</v>
      </c>
      <c r="G5" s="7"/>
      <c r="H5" s="7" t="s">
        <v>94</v>
      </c>
      <c r="I5" s="7"/>
      <c r="J5" s="7" t="s">
        <v>95</v>
      </c>
      <c r="K5" s="7" t="s">
        <v>96</v>
      </c>
      <c r="L5" s="7" t="s">
        <v>81</v>
      </c>
      <c r="M5" s="8" t="str">
        <f t="shared" si="0"/>
        <v>U</v>
      </c>
      <c r="N5" s="8" t="str">
        <f t="shared" si="1"/>
        <v>Complete</v>
      </c>
    </row>
    <row r="6" spans="1:14" ht="27" customHeight="1">
      <c r="A6" s="6">
        <v>5</v>
      </c>
      <c r="B6" s="6" t="s">
        <v>73</v>
      </c>
      <c r="C6" s="6" t="s">
        <v>74</v>
      </c>
      <c r="D6" s="6" t="s">
        <v>97</v>
      </c>
      <c r="E6" s="6" t="s">
        <v>98</v>
      </c>
      <c r="F6" s="7" t="s">
        <v>77</v>
      </c>
      <c r="G6" s="7"/>
      <c r="H6" s="7" t="s">
        <v>94</v>
      </c>
      <c r="I6" s="7"/>
      <c r="J6" s="7" t="s">
        <v>99</v>
      </c>
      <c r="K6" s="7" t="s">
        <v>100</v>
      </c>
      <c r="L6" s="7" t="s">
        <v>81</v>
      </c>
      <c r="M6" s="8" t="str">
        <f t="shared" si="0"/>
        <v>U</v>
      </c>
      <c r="N6" s="8" t="str">
        <f t="shared" si="1"/>
        <v>Complete</v>
      </c>
    </row>
    <row r="7" spans="1:14" ht="27" customHeight="1">
      <c r="A7" s="6">
        <v>6</v>
      </c>
      <c r="B7" s="6" t="s">
        <v>73</v>
      </c>
      <c r="C7" s="6" t="s">
        <v>74</v>
      </c>
      <c r="D7" s="6" t="s">
        <v>101</v>
      </c>
      <c r="E7" s="6" t="s">
        <v>102</v>
      </c>
      <c r="F7" s="7" t="s">
        <v>103</v>
      </c>
      <c r="G7" s="7" t="s">
        <v>104</v>
      </c>
      <c r="H7" s="7"/>
      <c r="I7" s="7"/>
      <c r="J7" s="7" t="s">
        <v>105</v>
      </c>
      <c r="K7" s="7" t="s">
        <v>106</v>
      </c>
      <c r="L7" s="7" t="s">
        <v>81</v>
      </c>
      <c r="M7" s="8" t="str">
        <f t="shared" si="0"/>
        <v>NA</v>
      </c>
      <c r="N7" s="8" t="str">
        <f t="shared" si="1"/>
        <v>Complete</v>
      </c>
    </row>
    <row r="8" spans="1:14" ht="40.5" customHeight="1">
      <c r="A8" s="6">
        <v>7</v>
      </c>
      <c r="B8" s="6" t="s">
        <v>73</v>
      </c>
      <c r="C8" s="6" t="s">
        <v>74</v>
      </c>
      <c r="D8" s="6" t="s">
        <v>107</v>
      </c>
      <c r="E8" s="6" t="s">
        <v>108</v>
      </c>
      <c r="F8" s="7" t="s">
        <v>103</v>
      </c>
      <c r="G8" s="7" t="s">
        <v>104</v>
      </c>
      <c r="H8" s="7"/>
      <c r="I8" s="7"/>
      <c r="J8" s="7" t="s">
        <v>109</v>
      </c>
      <c r="K8" s="7" t="s">
        <v>110</v>
      </c>
      <c r="L8" s="7" t="s">
        <v>111</v>
      </c>
      <c r="M8" s="8" t="str">
        <f t="shared" si="0"/>
        <v>NA</v>
      </c>
      <c r="N8" s="8" t="str">
        <f t="shared" si="1"/>
        <v>Complete</v>
      </c>
    </row>
    <row r="9" spans="1:14" ht="27" customHeight="1">
      <c r="A9" s="6">
        <v>8</v>
      </c>
      <c r="B9" s="6" t="s">
        <v>73</v>
      </c>
      <c r="C9" s="6" t="s">
        <v>74</v>
      </c>
      <c r="D9" s="6" t="s">
        <v>112</v>
      </c>
      <c r="E9" s="6" t="s">
        <v>113</v>
      </c>
      <c r="F9" s="7" t="s">
        <v>103</v>
      </c>
      <c r="G9" s="7" t="s">
        <v>114</v>
      </c>
      <c r="H9" s="7"/>
      <c r="I9" s="7"/>
      <c r="J9" s="7" t="s">
        <v>115</v>
      </c>
      <c r="K9" s="7" t="s">
        <v>116</v>
      </c>
      <c r="L9" s="7" t="s">
        <v>81</v>
      </c>
      <c r="M9" s="8" t="str">
        <f t="shared" si="0"/>
        <v>NA</v>
      </c>
      <c r="N9" s="8" t="str">
        <f t="shared" si="1"/>
        <v>Complete</v>
      </c>
    </row>
    <row r="10" spans="1:14" ht="40.5" customHeight="1">
      <c r="A10" s="6">
        <v>9</v>
      </c>
      <c r="B10" s="6" t="s">
        <v>73</v>
      </c>
      <c r="C10" s="6" t="s">
        <v>74</v>
      </c>
      <c r="D10" s="6" t="s">
        <v>117</v>
      </c>
      <c r="E10" s="6" t="s">
        <v>118</v>
      </c>
      <c r="F10" s="7" t="s">
        <v>77</v>
      </c>
      <c r="G10" s="7"/>
      <c r="H10" s="7" t="s">
        <v>88</v>
      </c>
      <c r="I10" s="7" t="s">
        <v>119</v>
      </c>
      <c r="J10" s="7" t="s">
        <v>120</v>
      </c>
      <c r="K10" s="7" t="s">
        <v>121</v>
      </c>
      <c r="L10" s="7" t="s">
        <v>81</v>
      </c>
      <c r="M10" s="8" t="str">
        <f t="shared" si="0"/>
        <v>R</v>
      </c>
      <c r="N10" s="8" t="str">
        <f t="shared" si="1"/>
        <v>Complete</v>
      </c>
    </row>
    <row r="11" spans="1:14" ht="27" customHeight="1">
      <c r="A11" s="6">
        <v>10</v>
      </c>
      <c r="B11" s="6" t="s">
        <v>73</v>
      </c>
      <c r="C11" s="6" t="s">
        <v>74</v>
      </c>
      <c r="D11" s="6" t="s">
        <v>122</v>
      </c>
      <c r="E11" s="6" t="s">
        <v>123</v>
      </c>
      <c r="F11" s="7" t="s">
        <v>103</v>
      </c>
      <c r="G11" s="7" t="s">
        <v>104</v>
      </c>
      <c r="H11" s="7"/>
      <c r="I11" s="7"/>
      <c r="J11" s="7" t="s">
        <v>124</v>
      </c>
      <c r="K11" s="7" t="s">
        <v>125</v>
      </c>
      <c r="L11" s="7" t="s">
        <v>81</v>
      </c>
      <c r="M11" s="8" t="str">
        <f t="shared" si="0"/>
        <v>NA</v>
      </c>
      <c r="N11" s="8" t="str">
        <f t="shared" si="1"/>
        <v>Complete</v>
      </c>
    </row>
    <row r="12" spans="1:14" ht="27" customHeight="1">
      <c r="A12" s="6">
        <v>11</v>
      </c>
      <c r="B12" s="6" t="s">
        <v>126</v>
      </c>
      <c r="C12" s="6" t="s">
        <v>127</v>
      </c>
      <c r="D12" s="6" t="s">
        <v>75</v>
      </c>
      <c r="E12" s="6" t="s">
        <v>76</v>
      </c>
      <c r="F12" s="7" t="s">
        <v>77</v>
      </c>
      <c r="G12" s="7"/>
      <c r="H12" s="7" t="s">
        <v>78</v>
      </c>
      <c r="I12" s="7"/>
      <c r="J12" s="7" t="s">
        <v>128</v>
      </c>
      <c r="K12" s="7" t="s">
        <v>129</v>
      </c>
      <c r="L12" s="7" t="s">
        <v>81</v>
      </c>
      <c r="M12" s="8" t="str">
        <f t="shared" si="0"/>
        <v>D</v>
      </c>
      <c r="N12" s="8" t="str">
        <f t="shared" si="1"/>
        <v>Complete</v>
      </c>
    </row>
    <row r="13" spans="1:14" ht="27" customHeight="1">
      <c r="A13" s="6">
        <v>12</v>
      </c>
      <c r="B13" s="6" t="s">
        <v>126</v>
      </c>
      <c r="C13" s="6" t="s">
        <v>127</v>
      </c>
      <c r="D13" s="6" t="s">
        <v>82</v>
      </c>
      <c r="E13" s="6" t="s">
        <v>83</v>
      </c>
      <c r="F13" s="7" t="s">
        <v>77</v>
      </c>
      <c r="G13" s="7"/>
      <c r="H13" s="7" t="s">
        <v>88</v>
      </c>
      <c r="I13" s="7" t="s">
        <v>89</v>
      </c>
      <c r="J13" s="7" t="s">
        <v>130</v>
      </c>
      <c r="K13" s="7" t="s">
        <v>131</v>
      </c>
      <c r="L13" s="7" t="s">
        <v>132</v>
      </c>
      <c r="M13" s="8" t="str">
        <f t="shared" si="0"/>
        <v>R</v>
      </c>
      <c r="N13" s="8" t="str">
        <f t="shared" si="1"/>
        <v>Complete</v>
      </c>
    </row>
    <row r="14" spans="1:14" ht="27" customHeight="1">
      <c r="A14" s="6">
        <v>13</v>
      </c>
      <c r="B14" s="6" t="s">
        <v>126</v>
      </c>
      <c r="C14" s="6" t="s">
        <v>127</v>
      </c>
      <c r="D14" s="6" t="s">
        <v>86</v>
      </c>
      <c r="E14" s="6" t="s">
        <v>87</v>
      </c>
      <c r="F14" s="7" t="s">
        <v>77</v>
      </c>
      <c r="G14" s="7"/>
      <c r="H14" s="7" t="s">
        <v>88</v>
      </c>
      <c r="I14" s="7" t="s">
        <v>89</v>
      </c>
      <c r="J14" s="7" t="s">
        <v>133</v>
      </c>
      <c r="K14" s="7" t="s">
        <v>134</v>
      </c>
      <c r="L14" s="7" t="s">
        <v>81</v>
      </c>
      <c r="M14" s="8" t="str">
        <f t="shared" si="0"/>
        <v>R</v>
      </c>
      <c r="N14" s="8" t="str">
        <f t="shared" si="1"/>
        <v>Complete</v>
      </c>
    </row>
    <row r="15" spans="1:14" ht="27" customHeight="1">
      <c r="A15" s="6">
        <v>14</v>
      </c>
      <c r="B15" s="6" t="s">
        <v>126</v>
      </c>
      <c r="C15" s="6" t="s">
        <v>127</v>
      </c>
      <c r="D15" s="6" t="s">
        <v>92</v>
      </c>
      <c r="E15" s="6" t="s">
        <v>93</v>
      </c>
      <c r="F15" s="7" t="s">
        <v>77</v>
      </c>
      <c r="G15" s="7"/>
      <c r="H15" s="7" t="s">
        <v>88</v>
      </c>
      <c r="I15" s="7" t="s">
        <v>119</v>
      </c>
      <c r="J15" s="7" t="s">
        <v>135</v>
      </c>
      <c r="K15" s="7" t="s">
        <v>136</v>
      </c>
      <c r="L15" s="7" t="s">
        <v>111</v>
      </c>
      <c r="M15" s="8" t="str">
        <f t="shared" si="0"/>
        <v>R</v>
      </c>
      <c r="N15" s="8" t="str">
        <f t="shared" si="1"/>
        <v>Complete</v>
      </c>
    </row>
    <row r="16" spans="1:14" ht="27" customHeight="1">
      <c r="A16" s="6">
        <v>15</v>
      </c>
      <c r="B16" s="6" t="s">
        <v>126</v>
      </c>
      <c r="C16" s="6" t="s">
        <v>127</v>
      </c>
      <c r="D16" s="6" t="s">
        <v>97</v>
      </c>
      <c r="E16" s="6" t="s">
        <v>98</v>
      </c>
      <c r="F16" s="7" t="s">
        <v>103</v>
      </c>
      <c r="G16" s="7" t="s">
        <v>104</v>
      </c>
      <c r="H16" s="7"/>
      <c r="I16" s="7"/>
      <c r="J16" s="7" t="s">
        <v>137</v>
      </c>
      <c r="K16" s="7" t="s">
        <v>138</v>
      </c>
      <c r="L16" s="7" t="s">
        <v>81</v>
      </c>
      <c r="M16" s="8" t="str">
        <f t="shared" si="0"/>
        <v>NA</v>
      </c>
      <c r="N16" s="8" t="str">
        <f t="shared" si="1"/>
        <v>Complete</v>
      </c>
    </row>
    <row r="17" spans="1:14" ht="40.5" customHeight="1">
      <c r="A17" s="6">
        <v>16</v>
      </c>
      <c r="B17" s="6" t="s">
        <v>126</v>
      </c>
      <c r="C17" s="6" t="s">
        <v>127</v>
      </c>
      <c r="D17" s="6" t="s">
        <v>101</v>
      </c>
      <c r="E17" s="6" t="s">
        <v>102</v>
      </c>
      <c r="F17" s="7" t="s">
        <v>103</v>
      </c>
      <c r="G17" s="7" t="s">
        <v>114</v>
      </c>
      <c r="H17" s="7"/>
      <c r="I17" s="7"/>
      <c r="J17" s="7" t="s">
        <v>139</v>
      </c>
      <c r="K17" s="7" t="s">
        <v>140</v>
      </c>
      <c r="L17" s="7" t="s">
        <v>132</v>
      </c>
      <c r="M17" s="8" t="str">
        <f t="shared" si="0"/>
        <v>NA</v>
      </c>
      <c r="N17" s="8" t="str">
        <f t="shared" si="1"/>
        <v>Complete</v>
      </c>
    </row>
    <row r="18" spans="1:14" ht="40.5" customHeight="1">
      <c r="A18" s="6">
        <v>17</v>
      </c>
      <c r="B18" s="6" t="s">
        <v>126</v>
      </c>
      <c r="C18" s="6" t="s">
        <v>127</v>
      </c>
      <c r="D18" s="6" t="s">
        <v>107</v>
      </c>
      <c r="E18" s="6" t="s">
        <v>108</v>
      </c>
      <c r="F18" s="7" t="s">
        <v>103</v>
      </c>
      <c r="G18" s="7" t="s">
        <v>114</v>
      </c>
      <c r="H18" s="7"/>
      <c r="I18" s="7"/>
      <c r="J18" s="7" t="s">
        <v>139</v>
      </c>
      <c r="K18" s="7" t="s">
        <v>141</v>
      </c>
      <c r="L18" s="7" t="s">
        <v>81</v>
      </c>
      <c r="M18" s="8" t="str">
        <f t="shared" si="0"/>
        <v>NA</v>
      </c>
      <c r="N18" s="8" t="str">
        <f t="shared" si="1"/>
        <v>Complete</v>
      </c>
    </row>
    <row r="19" spans="1:14" ht="40.5" customHeight="1">
      <c r="A19" s="6">
        <v>18</v>
      </c>
      <c r="B19" s="6" t="s">
        <v>126</v>
      </c>
      <c r="C19" s="6" t="s">
        <v>127</v>
      </c>
      <c r="D19" s="6" t="s">
        <v>112</v>
      </c>
      <c r="E19" s="6" t="s">
        <v>113</v>
      </c>
      <c r="F19" s="7" t="s">
        <v>103</v>
      </c>
      <c r="G19" s="7" t="s">
        <v>114</v>
      </c>
      <c r="H19" s="7"/>
      <c r="I19" s="7"/>
      <c r="J19" s="7" t="s">
        <v>142</v>
      </c>
      <c r="K19" s="7" t="s">
        <v>143</v>
      </c>
      <c r="L19" s="7" t="s">
        <v>132</v>
      </c>
      <c r="M19" s="8" t="str">
        <f t="shared" si="0"/>
        <v>NA</v>
      </c>
      <c r="N19" s="8" t="str">
        <f t="shared" si="1"/>
        <v>Complete</v>
      </c>
    </row>
    <row r="20" spans="1:14" ht="40.5" customHeight="1">
      <c r="A20" s="6">
        <v>19</v>
      </c>
      <c r="B20" s="6" t="s">
        <v>126</v>
      </c>
      <c r="C20" s="6" t="s">
        <v>127</v>
      </c>
      <c r="D20" s="6" t="s">
        <v>117</v>
      </c>
      <c r="E20" s="6" t="s">
        <v>118</v>
      </c>
      <c r="F20" s="7" t="s">
        <v>103</v>
      </c>
      <c r="G20" s="7" t="s">
        <v>104</v>
      </c>
      <c r="H20" s="7"/>
      <c r="I20" s="7"/>
      <c r="J20" s="7" t="s">
        <v>144</v>
      </c>
      <c r="K20" s="7" t="s">
        <v>145</v>
      </c>
      <c r="L20" s="7" t="s">
        <v>111</v>
      </c>
      <c r="M20" s="8" t="str">
        <f t="shared" si="0"/>
        <v>NA</v>
      </c>
      <c r="N20" s="8" t="str">
        <f t="shared" si="1"/>
        <v>Complete</v>
      </c>
    </row>
    <row r="21" spans="1:14" ht="40.5" customHeight="1">
      <c r="A21" s="6">
        <v>20</v>
      </c>
      <c r="B21" s="6" t="s">
        <v>126</v>
      </c>
      <c r="C21" s="6" t="s">
        <v>127</v>
      </c>
      <c r="D21" s="6" t="s">
        <v>122</v>
      </c>
      <c r="E21" s="6" t="s">
        <v>123</v>
      </c>
      <c r="F21" s="7" t="s">
        <v>103</v>
      </c>
      <c r="G21" s="7" t="s">
        <v>104</v>
      </c>
      <c r="H21" s="7"/>
      <c r="I21" s="7"/>
      <c r="J21" s="7" t="s">
        <v>142</v>
      </c>
      <c r="K21" s="7" t="s">
        <v>146</v>
      </c>
      <c r="L21" s="7" t="s">
        <v>81</v>
      </c>
      <c r="M21" s="8" t="str">
        <f t="shared" si="0"/>
        <v>NA</v>
      </c>
      <c r="N21" s="8" t="str">
        <f t="shared" si="1"/>
        <v>Complete</v>
      </c>
    </row>
    <row r="22" spans="1:14" ht="27" customHeight="1">
      <c r="A22" s="6">
        <v>21</v>
      </c>
      <c r="B22" s="6" t="s">
        <v>147</v>
      </c>
      <c r="C22" s="6" t="s">
        <v>148</v>
      </c>
      <c r="D22" s="6" t="s">
        <v>75</v>
      </c>
      <c r="E22" s="6" t="s">
        <v>76</v>
      </c>
      <c r="F22" s="7" t="s">
        <v>77</v>
      </c>
      <c r="G22" s="7"/>
      <c r="H22" s="7" t="s">
        <v>78</v>
      </c>
      <c r="I22" s="7"/>
      <c r="J22" s="7" t="s">
        <v>149</v>
      </c>
      <c r="K22" s="7" t="s">
        <v>150</v>
      </c>
      <c r="L22" s="7" t="s">
        <v>132</v>
      </c>
      <c r="M22" s="8" t="str">
        <f t="shared" si="0"/>
        <v>D</v>
      </c>
      <c r="N22" s="8" t="str">
        <f t="shared" si="1"/>
        <v>Complete</v>
      </c>
    </row>
    <row r="23" spans="1:14" ht="27" customHeight="1">
      <c r="A23" s="6">
        <v>22</v>
      </c>
      <c r="B23" s="6" t="s">
        <v>147</v>
      </c>
      <c r="C23" s="6" t="s">
        <v>148</v>
      </c>
      <c r="D23" s="6" t="s">
        <v>82</v>
      </c>
      <c r="E23" s="6" t="s">
        <v>83</v>
      </c>
      <c r="F23" s="7" t="s">
        <v>77</v>
      </c>
      <c r="G23" s="7"/>
      <c r="H23" s="7" t="s">
        <v>88</v>
      </c>
      <c r="I23" s="7" t="s">
        <v>89</v>
      </c>
      <c r="J23" s="7" t="s">
        <v>151</v>
      </c>
      <c r="K23" s="7" t="s">
        <v>152</v>
      </c>
      <c r="L23" s="7" t="s">
        <v>81</v>
      </c>
      <c r="M23" s="8" t="str">
        <f t="shared" si="0"/>
        <v>R</v>
      </c>
      <c r="N23" s="8" t="str">
        <f t="shared" si="1"/>
        <v>Complete</v>
      </c>
    </row>
    <row r="24" spans="1:14" ht="27" customHeight="1">
      <c r="A24" s="6">
        <v>23</v>
      </c>
      <c r="B24" s="6" t="s">
        <v>147</v>
      </c>
      <c r="C24" s="6" t="s">
        <v>148</v>
      </c>
      <c r="D24" s="6" t="s">
        <v>86</v>
      </c>
      <c r="E24" s="6" t="s">
        <v>87</v>
      </c>
      <c r="F24" s="7" t="s">
        <v>77</v>
      </c>
      <c r="G24" s="7"/>
      <c r="H24" s="7" t="s">
        <v>94</v>
      </c>
      <c r="I24" s="7"/>
      <c r="J24" s="7" t="s">
        <v>153</v>
      </c>
      <c r="K24" s="7" t="s">
        <v>154</v>
      </c>
      <c r="L24" s="7" t="s">
        <v>81</v>
      </c>
      <c r="M24" s="8" t="str">
        <f t="shared" si="0"/>
        <v>U</v>
      </c>
      <c r="N24" s="8" t="str">
        <f t="shared" si="1"/>
        <v>Complete</v>
      </c>
    </row>
    <row r="25" spans="1:14" ht="27" customHeight="1">
      <c r="A25" s="6">
        <v>24</v>
      </c>
      <c r="B25" s="6" t="s">
        <v>147</v>
      </c>
      <c r="C25" s="6" t="s">
        <v>148</v>
      </c>
      <c r="D25" s="6" t="s">
        <v>92</v>
      </c>
      <c r="E25" s="6" t="s">
        <v>93</v>
      </c>
      <c r="F25" s="7" t="s">
        <v>77</v>
      </c>
      <c r="G25" s="7"/>
      <c r="H25" s="7" t="s">
        <v>94</v>
      </c>
      <c r="I25" s="7"/>
      <c r="J25" s="7" t="s">
        <v>155</v>
      </c>
      <c r="K25" s="7" t="s">
        <v>156</v>
      </c>
      <c r="L25" s="7" t="s">
        <v>81</v>
      </c>
      <c r="M25" s="8" t="str">
        <f t="shared" si="0"/>
        <v>U</v>
      </c>
      <c r="N25" s="8" t="str">
        <f t="shared" si="1"/>
        <v>Complete</v>
      </c>
    </row>
    <row r="26" spans="1:14" ht="27" customHeight="1">
      <c r="A26" s="6">
        <v>25</v>
      </c>
      <c r="B26" s="6" t="s">
        <v>147</v>
      </c>
      <c r="C26" s="6" t="s">
        <v>148</v>
      </c>
      <c r="D26" s="6" t="s">
        <v>97</v>
      </c>
      <c r="E26" s="6" t="s">
        <v>98</v>
      </c>
      <c r="F26" s="7" t="s">
        <v>77</v>
      </c>
      <c r="G26" s="7"/>
      <c r="H26" s="7" t="s">
        <v>94</v>
      </c>
      <c r="I26" s="7"/>
      <c r="J26" s="7" t="s">
        <v>157</v>
      </c>
      <c r="K26" s="7" t="s">
        <v>158</v>
      </c>
      <c r="L26" s="7" t="s">
        <v>81</v>
      </c>
      <c r="M26" s="8" t="str">
        <f t="shared" si="0"/>
        <v>U</v>
      </c>
      <c r="N26" s="8" t="str">
        <f t="shared" si="1"/>
        <v>Complete</v>
      </c>
    </row>
    <row r="27" spans="1:14" ht="40.5" customHeight="1">
      <c r="A27" s="6">
        <v>26</v>
      </c>
      <c r="B27" s="6" t="s">
        <v>147</v>
      </c>
      <c r="C27" s="6" t="s">
        <v>148</v>
      </c>
      <c r="D27" s="6" t="s">
        <v>101</v>
      </c>
      <c r="E27" s="6" t="s">
        <v>102</v>
      </c>
      <c r="F27" s="7" t="s">
        <v>103</v>
      </c>
      <c r="G27" s="7" t="s">
        <v>104</v>
      </c>
      <c r="H27" s="7"/>
      <c r="I27" s="7"/>
      <c r="J27" s="7" t="s">
        <v>159</v>
      </c>
      <c r="K27" s="7" t="s">
        <v>160</v>
      </c>
      <c r="L27" s="7" t="s">
        <v>81</v>
      </c>
      <c r="M27" s="8" t="str">
        <f t="shared" si="0"/>
        <v>NA</v>
      </c>
      <c r="N27" s="8" t="str">
        <f t="shared" si="1"/>
        <v>Complete</v>
      </c>
    </row>
    <row r="28" spans="1:14" ht="40.5" customHeight="1">
      <c r="A28" s="6">
        <v>27</v>
      </c>
      <c r="B28" s="6" t="s">
        <v>147</v>
      </c>
      <c r="C28" s="6" t="s">
        <v>148</v>
      </c>
      <c r="D28" s="6" t="s">
        <v>107</v>
      </c>
      <c r="E28" s="6" t="s">
        <v>108</v>
      </c>
      <c r="F28" s="7" t="s">
        <v>103</v>
      </c>
      <c r="G28" s="7" t="s">
        <v>104</v>
      </c>
      <c r="H28" s="7"/>
      <c r="I28" s="7"/>
      <c r="J28" s="7" t="s">
        <v>161</v>
      </c>
      <c r="K28" s="7" t="s">
        <v>162</v>
      </c>
      <c r="L28" s="7" t="s">
        <v>111</v>
      </c>
      <c r="M28" s="8" t="str">
        <f t="shared" si="0"/>
        <v>NA</v>
      </c>
      <c r="N28" s="8" t="str">
        <f t="shared" si="1"/>
        <v>Complete</v>
      </c>
    </row>
    <row r="29" spans="1:14" ht="40.5" customHeight="1">
      <c r="A29" s="6">
        <v>28</v>
      </c>
      <c r="B29" s="6" t="s">
        <v>147</v>
      </c>
      <c r="C29" s="6" t="s">
        <v>148</v>
      </c>
      <c r="D29" s="6" t="s">
        <v>112</v>
      </c>
      <c r="E29" s="6" t="s">
        <v>113</v>
      </c>
      <c r="F29" s="7" t="s">
        <v>103</v>
      </c>
      <c r="G29" s="7" t="s">
        <v>114</v>
      </c>
      <c r="H29" s="7"/>
      <c r="I29" s="7"/>
      <c r="J29" s="7" t="s">
        <v>163</v>
      </c>
      <c r="K29" s="7" t="s">
        <v>164</v>
      </c>
      <c r="L29" s="7" t="s">
        <v>81</v>
      </c>
      <c r="M29" s="8" t="str">
        <f t="shared" si="0"/>
        <v>NA</v>
      </c>
      <c r="N29" s="8" t="str">
        <f t="shared" si="1"/>
        <v>Complete</v>
      </c>
    </row>
    <row r="30" spans="1:14" ht="27" customHeight="1">
      <c r="A30" s="6">
        <v>29</v>
      </c>
      <c r="B30" s="6" t="s">
        <v>147</v>
      </c>
      <c r="C30" s="6" t="s">
        <v>148</v>
      </c>
      <c r="D30" s="6" t="s">
        <v>117</v>
      </c>
      <c r="E30" s="6" t="s">
        <v>118</v>
      </c>
      <c r="F30" s="7" t="s">
        <v>103</v>
      </c>
      <c r="G30" s="7" t="s">
        <v>104</v>
      </c>
      <c r="H30" s="7"/>
      <c r="I30" s="7"/>
      <c r="J30" s="7" t="s">
        <v>165</v>
      </c>
      <c r="K30" s="7" t="s">
        <v>166</v>
      </c>
      <c r="L30" s="7" t="s">
        <v>111</v>
      </c>
      <c r="M30" s="8" t="str">
        <f t="shared" si="0"/>
        <v>NA</v>
      </c>
      <c r="N30" s="8" t="str">
        <f t="shared" si="1"/>
        <v>Complete</v>
      </c>
    </row>
    <row r="31" spans="1:14" ht="40.5" customHeight="1">
      <c r="A31" s="6">
        <v>30</v>
      </c>
      <c r="B31" s="6" t="s">
        <v>147</v>
      </c>
      <c r="C31" s="6" t="s">
        <v>148</v>
      </c>
      <c r="D31" s="6" t="s">
        <v>122</v>
      </c>
      <c r="E31" s="6" t="s">
        <v>123</v>
      </c>
      <c r="F31" s="7" t="s">
        <v>103</v>
      </c>
      <c r="G31" s="7" t="s">
        <v>104</v>
      </c>
      <c r="H31" s="7"/>
      <c r="I31" s="7"/>
      <c r="J31" s="7" t="s">
        <v>167</v>
      </c>
      <c r="K31" s="7" t="s">
        <v>168</v>
      </c>
      <c r="L31" s="7" t="s">
        <v>81</v>
      </c>
      <c r="M31" s="8" t="str">
        <f t="shared" si="0"/>
        <v>NA</v>
      </c>
      <c r="N31" s="8" t="str">
        <f t="shared" si="1"/>
        <v>Complete</v>
      </c>
    </row>
    <row r="32" spans="1:14" ht="27" customHeight="1">
      <c r="A32" s="6">
        <v>31</v>
      </c>
      <c r="B32" s="6" t="s">
        <v>169</v>
      </c>
      <c r="C32" s="6" t="s">
        <v>170</v>
      </c>
      <c r="D32" s="6" t="s">
        <v>75</v>
      </c>
      <c r="E32" s="6" t="s">
        <v>76</v>
      </c>
      <c r="F32" s="7" t="s">
        <v>77</v>
      </c>
      <c r="G32" s="7"/>
      <c r="H32" s="7" t="s">
        <v>78</v>
      </c>
      <c r="I32" s="7"/>
      <c r="J32" s="7" t="s">
        <v>171</v>
      </c>
      <c r="K32" s="7" t="s">
        <v>172</v>
      </c>
      <c r="L32" s="7" t="s">
        <v>132</v>
      </c>
      <c r="M32" s="8" t="str">
        <f t="shared" si="0"/>
        <v>D</v>
      </c>
      <c r="N32" s="8" t="str">
        <f t="shared" si="1"/>
        <v>Complete</v>
      </c>
    </row>
    <row r="33" spans="1:14" ht="27" customHeight="1">
      <c r="A33" s="6">
        <v>32</v>
      </c>
      <c r="B33" s="6" t="s">
        <v>169</v>
      </c>
      <c r="C33" s="6" t="s">
        <v>170</v>
      </c>
      <c r="D33" s="6" t="s">
        <v>82</v>
      </c>
      <c r="E33" s="6" t="s">
        <v>83</v>
      </c>
      <c r="F33" s="7" t="s">
        <v>77</v>
      </c>
      <c r="G33" s="7"/>
      <c r="H33" s="7" t="s">
        <v>78</v>
      </c>
      <c r="I33" s="7"/>
      <c r="J33" s="7" t="s">
        <v>173</v>
      </c>
      <c r="K33" s="7" t="s">
        <v>174</v>
      </c>
      <c r="L33" s="7" t="s">
        <v>132</v>
      </c>
      <c r="M33" s="8" t="str">
        <f t="shared" si="0"/>
        <v>D</v>
      </c>
      <c r="N33" s="8" t="str">
        <f t="shared" si="1"/>
        <v>Complete</v>
      </c>
    </row>
    <row r="34" spans="1:14" ht="27" customHeight="1">
      <c r="A34" s="6">
        <v>33</v>
      </c>
      <c r="B34" s="6" t="s">
        <v>169</v>
      </c>
      <c r="C34" s="6" t="s">
        <v>170</v>
      </c>
      <c r="D34" s="6" t="s">
        <v>86</v>
      </c>
      <c r="E34" s="6" t="s">
        <v>87</v>
      </c>
      <c r="F34" s="7" t="s">
        <v>77</v>
      </c>
      <c r="G34" s="7"/>
      <c r="H34" s="7" t="s">
        <v>88</v>
      </c>
      <c r="I34" s="7" t="s">
        <v>89</v>
      </c>
      <c r="J34" s="7" t="s">
        <v>175</v>
      </c>
      <c r="K34" s="7" t="s">
        <v>176</v>
      </c>
      <c r="L34" s="7" t="s">
        <v>81</v>
      </c>
      <c r="M34" s="8" t="str">
        <f t="shared" si="0"/>
        <v>R</v>
      </c>
      <c r="N34" s="8" t="str">
        <f t="shared" si="1"/>
        <v>Complete</v>
      </c>
    </row>
    <row r="35" spans="1:14" ht="40.5" customHeight="1">
      <c r="A35" s="6">
        <v>34</v>
      </c>
      <c r="B35" s="6" t="s">
        <v>169</v>
      </c>
      <c r="C35" s="6" t="s">
        <v>170</v>
      </c>
      <c r="D35" s="6" t="s">
        <v>92</v>
      </c>
      <c r="E35" s="6" t="s">
        <v>93</v>
      </c>
      <c r="F35" s="7" t="s">
        <v>77</v>
      </c>
      <c r="G35" s="7"/>
      <c r="H35" s="7" t="s">
        <v>88</v>
      </c>
      <c r="I35" s="7" t="s">
        <v>119</v>
      </c>
      <c r="J35" s="7" t="s">
        <v>175</v>
      </c>
      <c r="K35" s="7" t="s">
        <v>177</v>
      </c>
      <c r="L35" s="7" t="s">
        <v>111</v>
      </c>
      <c r="M35" s="8" t="str">
        <f t="shared" si="0"/>
        <v>R</v>
      </c>
      <c r="N35" s="8" t="str">
        <f t="shared" si="1"/>
        <v>Complete</v>
      </c>
    </row>
    <row r="36" spans="1:14" ht="40.5" customHeight="1">
      <c r="A36" s="6">
        <v>35</v>
      </c>
      <c r="B36" s="6" t="s">
        <v>169</v>
      </c>
      <c r="C36" s="6" t="s">
        <v>170</v>
      </c>
      <c r="D36" s="6" t="s">
        <v>97</v>
      </c>
      <c r="E36" s="6" t="s">
        <v>98</v>
      </c>
      <c r="F36" s="7" t="s">
        <v>77</v>
      </c>
      <c r="G36" s="7"/>
      <c r="H36" s="7" t="s">
        <v>94</v>
      </c>
      <c r="I36" s="7"/>
      <c r="J36" s="7" t="s">
        <v>178</v>
      </c>
      <c r="K36" s="7" t="s">
        <v>179</v>
      </c>
      <c r="L36" s="7" t="s">
        <v>81</v>
      </c>
      <c r="M36" s="8" t="str">
        <f t="shared" si="0"/>
        <v>U</v>
      </c>
      <c r="N36" s="8" t="str">
        <f t="shared" si="1"/>
        <v>Complete</v>
      </c>
    </row>
    <row r="37" spans="1:14" ht="40.5" customHeight="1">
      <c r="A37" s="6">
        <v>36</v>
      </c>
      <c r="B37" s="6" t="s">
        <v>169</v>
      </c>
      <c r="C37" s="6" t="s">
        <v>170</v>
      </c>
      <c r="D37" s="6" t="s">
        <v>101</v>
      </c>
      <c r="E37" s="6" t="s">
        <v>102</v>
      </c>
      <c r="F37" s="7" t="s">
        <v>103</v>
      </c>
      <c r="G37" s="7" t="s">
        <v>104</v>
      </c>
      <c r="H37" s="7"/>
      <c r="I37" s="7"/>
      <c r="J37" s="7" t="s">
        <v>180</v>
      </c>
      <c r="K37" s="7" t="s">
        <v>181</v>
      </c>
      <c r="L37" s="7" t="s">
        <v>81</v>
      </c>
      <c r="M37" s="8" t="str">
        <f t="shared" si="0"/>
        <v>NA</v>
      </c>
      <c r="N37" s="8" t="str">
        <f t="shared" si="1"/>
        <v>Complete</v>
      </c>
    </row>
    <row r="38" spans="1:14" ht="40.5" customHeight="1">
      <c r="A38" s="6">
        <v>37</v>
      </c>
      <c r="B38" s="6" t="s">
        <v>169</v>
      </c>
      <c r="C38" s="6" t="s">
        <v>170</v>
      </c>
      <c r="D38" s="6" t="s">
        <v>107</v>
      </c>
      <c r="E38" s="6" t="s">
        <v>108</v>
      </c>
      <c r="F38" s="7" t="s">
        <v>103</v>
      </c>
      <c r="G38" s="7" t="s">
        <v>104</v>
      </c>
      <c r="H38" s="7"/>
      <c r="I38" s="7"/>
      <c r="J38" s="7" t="s">
        <v>180</v>
      </c>
      <c r="K38" s="7" t="s">
        <v>182</v>
      </c>
      <c r="L38" s="7" t="s">
        <v>111</v>
      </c>
      <c r="M38" s="8" t="str">
        <f t="shared" si="0"/>
        <v>NA</v>
      </c>
      <c r="N38" s="8" t="str">
        <f t="shared" si="1"/>
        <v>Complete</v>
      </c>
    </row>
    <row r="39" spans="1:14" ht="40.5" customHeight="1">
      <c r="A39" s="6">
        <v>38</v>
      </c>
      <c r="B39" s="6" t="s">
        <v>169</v>
      </c>
      <c r="C39" s="6" t="s">
        <v>170</v>
      </c>
      <c r="D39" s="6" t="s">
        <v>112</v>
      </c>
      <c r="E39" s="6" t="s">
        <v>113</v>
      </c>
      <c r="F39" s="7" t="s">
        <v>103</v>
      </c>
      <c r="G39" s="7" t="s">
        <v>114</v>
      </c>
      <c r="H39" s="7"/>
      <c r="I39" s="7"/>
      <c r="J39" s="7" t="s">
        <v>183</v>
      </c>
      <c r="K39" s="7" t="s">
        <v>184</v>
      </c>
      <c r="L39" s="7" t="s">
        <v>132</v>
      </c>
      <c r="M39" s="8" t="str">
        <f t="shared" si="0"/>
        <v>NA</v>
      </c>
      <c r="N39" s="8" t="str">
        <f t="shared" si="1"/>
        <v>Complete</v>
      </c>
    </row>
    <row r="40" spans="1:14" ht="27" customHeight="1">
      <c r="A40" s="6">
        <v>39</v>
      </c>
      <c r="B40" s="6" t="s">
        <v>169</v>
      </c>
      <c r="C40" s="6" t="s">
        <v>170</v>
      </c>
      <c r="D40" s="6" t="s">
        <v>117</v>
      </c>
      <c r="E40" s="6" t="s">
        <v>118</v>
      </c>
      <c r="F40" s="7" t="s">
        <v>103</v>
      </c>
      <c r="G40" s="7" t="s">
        <v>104</v>
      </c>
      <c r="H40" s="7"/>
      <c r="I40" s="7"/>
      <c r="J40" s="7" t="s">
        <v>185</v>
      </c>
      <c r="K40" s="7" t="s">
        <v>186</v>
      </c>
      <c r="L40" s="7" t="s">
        <v>81</v>
      </c>
      <c r="M40" s="8" t="str">
        <f t="shared" si="0"/>
        <v>NA</v>
      </c>
      <c r="N40" s="8" t="str">
        <f t="shared" si="1"/>
        <v>Complete</v>
      </c>
    </row>
    <row r="41" spans="1:14" ht="40.5" customHeight="1">
      <c r="A41" s="6">
        <v>40</v>
      </c>
      <c r="B41" s="6" t="s">
        <v>169</v>
      </c>
      <c r="C41" s="6" t="s">
        <v>170</v>
      </c>
      <c r="D41" s="6" t="s">
        <v>122</v>
      </c>
      <c r="E41" s="6" t="s">
        <v>123</v>
      </c>
      <c r="F41" s="7" t="s">
        <v>103</v>
      </c>
      <c r="G41" s="7" t="s">
        <v>104</v>
      </c>
      <c r="H41" s="7"/>
      <c r="I41" s="7"/>
      <c r="J41" s="7" t="s">
        <v>187</v>
      </c>
      <c r="K41" s="7" t="s">
        <v>188</v>
      </c>
      <c r="L41" s="7" t="s">
        <v>81</v>
      </c>
      <c r="M41" s="8" t="str">
        <f t="shared" si="0"/>
        <v>NA</v>
      </c>
      <c r="N41" s="8" t="str">
        <f t="shared" si="1"/>
        <v>Complete</v>
      </c>
    </row>
    <row r="42" spans="1:14" ht="27" customHeight="1">
      <c r="A42" s="6">
        <v>41</v>
      </c>
      <c r="B42" s="6" t="s">
        <v>189</v>
      </c>
      <c r="C42" s="6" t="s">
        <v>190</v>
      </c>
      <c r="D42" s="6" t="s">
        <v>75</v>
      </c>
      <c r="E42" s="6" t="s">
        <v>76</v>
      </c>
      <c r="F42" s="7" t="s">
        <v>77</v>
      </c>
      <c r="G42" s="7"/>
      <c r="H42" s="7" t="s">
        <v>88</v>
      </c>
      <c r="I42" s="7" t="s">
        <v>89</v>
      </c>
      <c r="J42" s="7" t="s">
        <v>191</v>
      </c>
      <c r="K42" s="7" t="s">
        <v>192</v>
      </c>
      <c r="L42" s="7" t="s">
        <v>111</v>
      </c>
      <c r="M42" s="8" t="str">
        <f t="shared" si="0"/>
        <v>R</v>
      </c>
      <c r="N42" s="8" t="str">
        <f t="shared" si="1"/>
        <v>Complete</v>
      </c>
    </row>
    <row r="43" spans="1:14" ht="27" customHeight="1">
      <c r="A43" s="6">
        <v>42</v>
      </c>
      <c r="B43" s="6" t="s">
        <v>189</v>
      </c>
      <c r="C43" s="6" t="s">
        <v>190</v>
      </c>
      <c r="D43" s="6" t="s">
        <v>82</v>
      </c>
      <c r="E43" s="6" t="s">
        <v>83</v>
      </c>
      <c r="F43" s="7" t="s">
        <v>77</v>
      </c>
      <c r="G43" s="7"/>
      <c r="H43" s="7" t="s">
        <v>78</v>
      </c>
      <c r="I43" s="7"/>
      <c r="J43" s="7" t="s">
        <v>193</v>
      </c>
      <c r="K43" s="7" t="s">
        <v>194</v>
      </c>
      <c r="L43" s="7" t="s">
        <v>81</v>
      </c>
      <c r="M43" s="8" t="str">
        <f t="shared" si="0"/>
        <v>D</v>
      </c>
      <c r="N43" s="8" t="str">
        <f t="shared" si="1"/>
        <v>Complete</v>
      </c>
    </row>
    <row r="44" spans="1:14" ht="27" customHeight="1">
      <c r="A44" s="6">
        <v>43</v>
      </c>
      <c r="B44" s="6" t="s">
        <v>189</v>
      </c>
      <c r="C44" s="6" t="s">
        <v>190</v>
      </c>
      <c r="D44" s="6" t="s">
        <v>86</v>
      </c>
      <c r="E44" s="6" t="s">
        <v>87</v>
      </c>
      <c r="F44" s="7" t="s">
        <v>77</v>
      </c>
      <c r="G44" s="7"/>
      <c r="H44" s="7" t="s">
        <v>88</v>
      </c>
      <c r="I44" s="7" t="s">
        <v>89</v>
      </c>
      <c r="J44" s="7" t="s">
        <v>195</v>
      </c>
      <c r="K44" s="7" t="s">
        <v>196</v>
      </c>
      <c r="L44" s="7" t="s">
        <v>81</v>
      </c>
      <c r="M44" s="8" t="str">
        <f t="shared" si="0"/>
        <v>R</v>
      </c>
      <c r="N44" s="8" t="str">
        <f t="shared" si="1"/>
        <v>Complete</v>
      </c>
    </row>
    <row r="45" spans="1:14" ht="27" customHeight="1">
      <c r="A45" s="6">
        <v>44</v>
      </c>
      <c r="B45" s="6" t="s">
        <v>189</v>
      </c>
      <c r="C45" s="6" t="s">
        <v>190</v>
      </c>
      <c r="D45" s="6" t="s">
        <v>92</v>
      </c>
      <c r="E45" s="6" t="s">
        <v>93</v>
      </c>
      <c r="F45" s="7" t="s">
        <v>77</v>
      </c>
      <c r="G45" s="7"/>
      <c r="H45" s="7" t="s">
        <v>88</v>
      </c>
      <c r="I45" s="7" t="s">
        <v>119</v>
      </c>
      <c r="J45" s="7" t="s">
        <v>197</v>
      </c>
      <c r="K45" s="7" t="s">
        <v>198</v>
      </c>
      <c r="L45" s="7" t="s">
        <v>111</v>
      </c>
      <c r="M45" s="8" t="str">
        <f t="shared" si="0"/>
        <v>R</v>
      </c>
      <c r="N45" s="8" t="str">
        <f t="shared" si="1"/>
        <v>Complete</v>
      </c>
    </row>
    <row r="46" spans="1:14" ht="40.5" customHeight="1">
      <c r="A46" s="6">
        <v>45</v>
      </c>
      <c r="B46" s="6" t="s">
        <v>189</v>
      </c>
      <c r="C46" s="6" t="s">
        <v>190</v>
      </c>
      <c r="D46" s="6" t="s">
        <v>97</v>
      </c>
      <c r="E46" s="6" t="s">
        <v>98</v>
      </c>
      <c r="F46" s="7" t="s">
        <v>103</v>
      </c>
      <c r="G46" s="7" t="s">
        <v>104</v>
      </c>
      <c r="H46" s="7"/>
      <c r="I46" s="7"/>
      <c r="J46" s="7" t="s">
        <v>199</v>
      </c>
      <c r="K46" s="7" t="s">
        <v>200</v>
      </c>
      <c r="L46" s="7" t="s">
        <v>81</v>
      </c>
      <c r="M46" s="8" t="str">
        <f t="shared" si="0"/>
        <v>NA</v>
      </c>
      <c r="N46" s="8" t="str">
        <f t="shared" si="1"/>
        <v>Complete</v>
      </c>
    </row>
    <row r="47" spans="1:14" ht="27" customHeight="1">
      <c r="A47" s="6">
        <v>46</v>
      </c>
      <c r="B47" s="6" t="s">
        <v>189</v>
      </c>
      <c r="C47" s="6" t="s">
        <v>190</v>
      </c>
      <c r="D47" s="6" t="s">
        <v>101</v>
      </c>
      <c r="E47" s="6" t="s">
        <v>102</v>
      </c>
      <c r="F47" s="7" t="s">
        <v>77</v>
      </c>
      <c r="G47" s="7"/>
      <c r="H47" s="7" t="s">
        <v>94</v>
      </c>
      <c r="I47" s="7"/>
      <c r="J47" s="7" t="s">
        <v>201</v>
      </c>
      <c r="K47" s="7" t="s">
        <v>202</v>
      </c>
      <c r="L47" s="7" t="s">
        <v>81</v>
      </c>
      <c r="M47" s="8" t="str">
        <f t="shared" si="0"/>
        <v>U</v>
      </c>
      <c r="N47" s="8" t="str">
        <f t="shared" si="1"/>
        <v>Complete</v>
      </c>
    </row>
    <row r="48" spans="1:14" ht="27" customHeight="1">
      <c r="A48" s="6">
        <v>47</v>
      </c>
      <c r="B48" s="6" t="s">
        <v>189</v>
      </c>
      <c r="C48" s="6" t="s">
        <v>190</v>
      </c>
      <c r="D48" s="6" t="s">
        <v>107</v>
      </c>
      <c r="E48" s="6" t="s">
        <v>108</v>
      </c>
      <c r="F48" s="7" t="s">
        <v>77</v>
      </c>
      <c r="G48" s="7"/>
      <c r="H48" s="7" t="s">
        <v>94</v>
      </c>
      <c r="I48" s="7"/>
      <c r="J48" s="7" t="s">
        <v>203</v>
      </c>
      <c r="K48" s="7" t="s">
        <v>204</v>
      </c>
      <c r="L48" s="7" t="s">
        <v>81</v>
      </c>
      <c r="M48" s="8" t="str">
        <f t="shared" si="0"/>
        <v>U</v>
      </c>
      <c r="N48" s="8" t="str">
        <f t="shared" si="1"/>
        <v>Complete</v>
      </c>
    </row>
    <row r="49" spans="1:14" ht="40.5" customHeight="1">
      <c r="A49" s="6">
        <v>48</v>
      </c>
      <c r="B49" s="6" t="s">
        <v>189</v>
      </c>
      <c r="C49" s="6" t="s">
        <v>190</v>
      </c>
      <c r="D49" s="6" t="s">
        <v>112</v>
      </c>
      <c r="E49" s="6" t="s">
        <v>113</v>
      </c>
      <c r="F49" s="7" t="s">
        <v>103</v>
      </c>
      <c r="G49" s="7" t="s">
        <v>114</v>
      </c>
      <c r="H49" s="7"/>
      <c r="I49" s="7"/>
      <c r="J49" s="7" t="s">
        <v>205</v>
      </c>
      <c r="K49" s="7" t="s">
        <v>206</v>
      </c>
      <c r="L49" s="7" t="s">
        <v>132</v>
      </c>
      <c r="M49" s="8" t="str">
        <f t="shared" si="0"/>
        <v>NA</v>
      </c>
      <c r="N49" s="8" t="str">
        <f t="shared" si="1"/>
        <v>Complete</v>
      </c>
    </row>
    <row r="50" spans="1:14" ht="27" customHeight="1">
      <c r="A50" s="6">
        <v>49</v>
      </c>
      <c r="B50" s="6" t="s">
        <v>189</v>
      </c>
      <c r="C50" s="6" t="s">
        <v>190</v>
      </c>
      <c r="D50" s="6" t="s">
        <v>117</v>
      </c>
      <c r="E50" s="6" t="s">
        <v>118</v>
      </c>
      <c r="F50" s="7" t="s">
        <v>77</v>
      </c>
      <c r="G50" s="7"/>
      <c r="H50" s="7" t="s">
        <v>94</v>
      </c>
      <c r="I50" s="7"/>
      <c r="J50" s="7" t="s">
        <v>207</v>
      </c>
      <c r="K50" s="7" t="s">
        <v>208</v>
      </c>
      <c r="L50" s="7" t="s">
        <v>81</v>
      </c>
      <c r="M50" s="8" t="str">
        <f t="shared" si="0"/>
        <v>U</v>
      </c>
      <c r="N50" s="8" t="str">
        <f t="shared" si="1"/>
        <v>Complete</v>
      </c>
    </row>
    <row r="51" spans="1:14" ht="27" customHeight="1">
      <c r="A51" s="6">
        <v>50</v>
      </c>
      <c r="B51" s="6" t="s">
        <v>189</v>
      </c>
      <c r="C51" s="6" t="s">
        <v>190</v>
      </c>
      <c r="D51" s="6" t="s">
        <v>122</v>
      </c>
      <c r="E51" s="6" t="s">
        <v>123</v>
      </c>
      <c r="F51" s="7" t="s">
        <v>103</v>
      </c>
      <c r="G51" s="7" t="s">
        <v>104</v>
      </c>
      <c r="H51" s="7"/>
      <c r="I51" s="7"/>
      <c r="J51" s="7" t="s">
        <v>209</v>
      </c>
      <c r="K51" s="7" t="s">
        <v>210</v>
      </c>
      <c r="L51" s="7" t="s">
        <v>111</v>
      </c>
      <c r="M51" s="8" t="str">
        <f t="shared" si="0"/>
        <v>NA</v>
      </c>
      <c r="N51" s="8" t="str">
        <f t="shared" si="1"/>
        <v>Complete</v>
      </c>
    </row>
    <row r="52" spans="1:14" ht="27" customHeight="1">
      <c r="A52" s="6">
        <v>51</v>
      </c>
      <c r="B52" s="6" t="s">
        <v>211</v>
      </c>
      <c r="C52" s="6" t="s">
        <v>212</v>
      </c>
      <c r="D52" s="6" t="s">
        <v>75</v>
      </c>
      <c r="E52" s="6" t="s">
        <v>76</v>
      </c>
      <c r="F52" s="7" t="s">
        <v>77</v>
      </c>
      <c r="G52" s="7"/>
      <c r="H52" s="7" t="s">
        <v>78</v>
      </c>
      <c r="I52" s="7"/>
      <c r="J52" s="7" t="s">
        <v>213</v>
      </c>
      <c r="K52" s="7" t="s">
        <v>214</v>
      </c>
      <c r="L52" s="7" t="s">
        <v>81</v>
      </c>
      <c r="M52" s="8" t="str">
        <f t="shared" si="0"/>
        <v>D</v>
      </c>
      <c r="N52" s="8" t="str">
        <f t="shared" si="1"/>
        <v>Complete</v>
      </c>
    </row>
    <row r="53" spans="1:14" ht="27" customHeight="1">
      <c r="A53" s="6">
        <v>52</v>
      </c>
      <c r="B53" s="6" t="s">
        <v>211</v>
      </c>
      <c r="C53" s="6" t="s">
        <v>212</v>
      </c>
      <c r="D53" s="6" t="s">
        <v>82</v>
      </c>
      <c r="E53" s="6" t="s">
        <v>83</v>
      </c>
      <c r="F53" s="7" t="s">
        <v>77</v>
      </c>
      <c r="G53" s="7"/>
      <c r="H53" s="7" t="s">
        <v>88</v>
      </c>
      <c r="I53" s="7" t="s">
        <v>89</v>
      </c>
      <c r="J53" s="7" t="s">
        <v>215</v>
      </c>
      <c r="K53" s="7" t="s">
        <v>216</v>
      </c>
      <c r="L53" s="7" t="s">
        <v>81</v>
      </c>
      <c r="M53" s="8" t="str">
        <f t="shared" si="0"/>
        <v>R</v>
      </c>
      <c r="N53" s="8" t="str">
        <f t="shared" si="1"/>
        <v>Complete</v>
      </c>
    </row>
    <row r="54" spans="1:14" ht="27" customHeight="1">
      <c r="A54" s="6">
        <v>53</v>
      </c>
      <c r="B54" s="6" t="s">
        <v>211</v>
      </c>
      <c r="C54" s="6" t="s">
        <v>212</v>
      </c>
      <c r="D54" s="6" t="s">
        <v>86</v>
      </c>
      <c r="E54" s="6" t="s">
        <v>87</v>
      </c>
      <c r="F54" s="7" t="s">
        <v>77</v>
      </c>
      <c r="G54" s="7"/>
      <c r="H54" s="7" t="s">
        <v>88</v>
      </c>
      <c r="I54" s="7" t="s">
        <v>119</v>
      </c>
      <c r="J54" s="7" t="s">
        <v>217</v>
      </c>
      <c r="K54" s="7" t="s">
        <v>218</v>
      </c>
      <c r="L54" s="7" t="s">
        <v>111</v>
      </c>
      <c r="M54" s="8" t="str">
        <f t="shared" si="0"/>
        <v>R</v>
      </c>
      <c r="N54" s="8" t="str">
        <f t="shared" si="1"/>
        <v>Complete</v>
      </c>
    </row>
    <row r="55" spans="1:14" ht="27" customHeight="1">
      <c r="A55" s="6">
        <v>54</v>
      </c>
      <c r="B55" s="6" t="s">
        <v>211</v>
      </c>
      <c r="C55" s="6" t="s">
        <v>212</v>
      </c>
      <c r="D55" s="6" t="s">
        <v>92</v>
      </c>
      <c r="E55" s="6" t="s">
        <v>93</v>
      </c>
      <c r="F55" s="7" t="s">
        <v>77</v>
      </c>
      <c r="G55" s="7"/>
      <c r="H55" s="7" t="s">
        <v>94</v>
      </c>
      <c r="I55" s="7"/>
      <c r="J55" s="7" t="s">
        <v>219</v>
      </c>
      <c r="K55" s="7" t="s">
        <v>220</v>
      </c>
      <c r="L55" s="7" t="s">
        <v>81</v>
      </c>
      <c r="M55" s="8" t="str">
        <f t="shared" si="0"/>
        <v>U</v>
      </c>
      <c r="N55" s="8" t="str">
        <f t="shared" si="1"/>
        <v>Complete</v>
      </c>
    </row>
    <row r="56" spans="1:14" ht="27" customHeight="1">
      <c r="A56" s="6">
        <v>55</v>
      </c>
      <c r="B56" s="6" t="s">
        <v>211</v>
      </c>
      <c r="C56" s="6" t="s">
        <v>212</v>
      </c>
      <c r="D56" s="6" t="s">
        <v>97</v>
      </c>
      <c r="E56" s="6" t="s">
        <v>98</v>
      </c>
      <c r="F56" s="7" t="s">
        <v>103</v>
      </c>
      <c r="G56" s="7" t="s">
        <v>104</v>
      </c>
      <c r="H56" s="7"/>
      <c r="I56" s="7"/>
      <c r="J56" s="7" t="s">
        <v>221</v>
      </c>
      <c r="K56" s="7" t="s">
        <v>222</v>
      </c>
      <c r="L56" s="7" t="s">
        <v>111</v>
      </c>
      <c r="M56" s="8" t="str">
        <f t="shared" si="0"/>
        <v>NA</v>
      </c>
      <c r="N56" s="8" t="str">
        <f t="shared" si="1"/>
        <v>Complete</v>
      </c>
    </row>
    <row r="57" spans="1:14" ht="40.5" customHeight="1">
      <c r="A57" s="6">
        <v>56</v>
      </c>
      <c r="B57" s="6" t="s">
        <v>211</v>
      </c>
      <c r="C57" s="6" t="s">
        <v>212</v>
      </c>
      <c r="D57" s="6" t="s">
        <v>101</v>
      </c>
      <c r="E57" s="6" t="s">
        <v>102</v>
      </c>
      <c r="F57" s="7" t="s">
        <v>103</v>
      </c>
      <c r="G57" s="7" t="s">
        <v>104</v>
      </c>
      <c r="H57" s="7"/>
      <c r="I57" s="7"/>
      <c r="J57" s="7" t="s">
        <v>223</v>
      </c>
      <c r="K57" s="7" t="s">
        <v>224</v>
      </c>
      <c r="L57" s="7" t="s">
        <v>81</v>
      </c>
      <c r="M57" s="8" t="str">
        <f t="shared" si="0"/>
        <v>NA</v>
      </c>
      <c r="N57" s="8" t="str">
        <f t="shared" si="1"/>
        <v>Complete</v>
      </c>
    </row>
    <row r="58" spans="1:14" ht="40.5" customHeight="1">
      <c r="A58" s="6">
        <v>57</v>
      </c>
      <c r="B58" s="6" t="s">
        <v>211</v>
      </c>
      <c r="C58" s="6" t="s">
        <v>212</v>
      </c>
      <c r="D58" s="6" t="s">
        <v>107</v>
      </c>
      <c r="E58" s="6" t="s">
        <v>108</v>
      </c>
      <c r="F58" s="7" t="s">
        <v>103</v>
      </c>
      <c r="G58" s="7" t="s">
        <v>104</v>
      </c>
      <c r="H58" s="7"/>
      <c r="I58" s="7"/>
      <c r="J58" s="7" t="s">
        <v>223</v>
      </c>
      <c r="K58" s="7" t="s">
        <v>225</v>
      </c>
      <c r="L58" s="7" t="s">
        <v>81</v>
      </c>
      <c r="M58" s="8" t="str">
        <f t="shared" si="0"/>
        <v>NA</v>
      </c>
      <c r="N58" s="8" t="str">
        <f t="shared" si="1"/>
        <v>Complete</v>
      </c>
    </row>
    <row r="59" spans="1:14" ht="40.5" customHeight="1">
      <c r="A59" s="6">
        <v>58</v>
      </c>
      <c r="B59" s="6" t="s">
        <v>211</v>
      </c>
      <c r="C59" s="6" t="s">
        <v>212</v>
      </c>
      <c r="D59" s="6" t="s">
        <v>112</v>
      </c>
      <c r="E59" s="6" t="s">
        <v>113</v>
      </c>
      <c r="F59" s="7" t="s">
        <v>103</v>
      </c>
      <c r="G59" s="7" t="s">
        <v>114</v>
      </c>
      <c r="H59" s="7"/>
      <c r="I59" s="7"/>
      <c r="J59" s="7" t="s">
        <v>226</v>
      </c>
      <c r="K59" s="7" t="s">
        <v>227</v>
      </c>
      <c r="L59" s="7" t="s">
        <v>132</v>
      </c>
      <c r="M59" s="8" t="str">
        <f t="shared" si="0"/>
        <v>NA</v>
      </c>
      <c r="N59" s="8" t="str">
        <f t="shared" si="1"/>
        <v>Complete</v>
      </c>
    </row>
    <row r="60" spans="1:14" ht="27" customHeight="1">
      <c r="A60" s="6">
        <v>59</v>
      </c>
      <c r="B60" s="6" t="s">
        <v>211</v>
      </c>
      <c r="C60" s="6" t="s">
        <v>212</v>
      </c>
      <c r="D60" s="6" t="s">
        <v>117</v>
      </c>
      <c r="E60" s="6" t="s">
        <v>118</v>
      </c>
      <c r="F60" s="7" t="s">
        <v>77</v>
      </c>
      <c r="G60" s="7"/>
      <c r="H60" s="7" t="s">
        <v>94</v>
      </c>
      <c r="I60" s="7"/>
      <c r="J60" s="7" t="s">
        <v>228</v>
      </c>
      <c r="K60" s="7" t="s">
        <v>229</v>
      </c>
      <c r="L60" s="7" t="s">
        <v>81</v>
      </c>
      <c r="M60" s="8" t="str">
        <f t="shared" si="0"/>
        <v>U</v>
      </c>
      <c r="N60" s="8" t="str">
        <f t="shared" si="1"/>
        <v>Complete</v>
      </c>
    </row>
    <row r="61" spans="1:14" ht="40.5" customHeight="1">
      <c r="A61" s="6">
        <v>60</v>
      </c>
      <c r="B61" s="6" t="s">
        <v>211</v>
      </c>
      <c r="C61" s="6" t="s">
        <v>212</v>
      </c>
      <c r="D61" s="6" t="s">
        <v>122</v>
      </c>
      <c r="E61" s="6" t="s">
        <v>123</v>
      </c>
      <c r="F61" s="7" t="s">
        <v>103</v>
      </c>
      <c r="G61" s="7" t="s">
        <v>104</v>
      </c>
      <c r="H61" s="7"/>
      <c r="I61" s="7"/>
      <c r="J61" s="7" t="s">
        <v>230</v>
      </c>
      <c r="K61" s="7" t="s">
        <v>168</v>
      </c>
      <c r="L61" s="7" t="s">
        <v>81</v>
      </c>
      <c r="M61" s="8" t="str">
        <f t="shared" si="0"/>
        <v>NA</v>
      </c>
      <c r="N61" s="8" t="str">
        <f t="shared" si="1"/>
        <v>Complete</v>
      </c>
    </row>
    <row r="62" spans="1:14" ht="27" customHeight="1">
      <c r="A62" s="6">
        <v>61</v>
      </c>
      <c r="B62" s="6" t="s">
        <v>231</v>
      </c>
      <c r="C62" s="6" t="s">
        <v>232</v>
      </c>
      <c r="D62" s="6" t="s">
        <v>75</v>
      </c>
      <c r="E62" s="6" t="s">
        <v>76</v>
      </c>
      <c r="F62" s="7" t="s">
        <v>77</v>
      </c>
      <c r="G62" s="7"/>
      <c r="H62" s="7" t="s">
        <v>78</v>
      </c>
      <c r="I62" s="7"/>
      <c r="J62" s="7" t="s">
        <v>233</v>
      </c>
      <c r="K62" s="7" t="s">
        <v>234</v>
      </c>
      <c r="L62" s="7" t="s">
        <v>132</v>
      </c>
      <c r="M62" s="8" t="str">
        <f t="shared" si="0"/>
        <v>D</v>
      </c>
      <c r="N62" s="8" t="str">
        <f t="shared" si="1"/>
        <v>Complete</v>
      </c>
    </row>
    <row r="63" spans="1:14" ht="27" customHeight="1">
      <c r="A63" s="6">
        <v>62</v>
      </c>
      <c r="B63" s="6" t="s">
        <v>231</v>
      </c>
      <c r="C63" s="6" t="s">
        <v>232</v>
      </c>
      <c r="D63" s="6" t="s">
        <v>82</v>
      </c>
      <c r="E63" s="6" t="s">
        <v>83</v>
      </c>
      <c r="F63" s="7" t="s">
        <v>77</v>
      </c>
      <c r="G63" s="7"/>
      <c r="H63" s="7" t="s">
        <v>88</v>
      </c>
      <c r="I63" s="7" t="s">
        <v>89</v>
      </c>
      <c r="J63" s="7" t="s">
        <v>235</v>
      </c>
      <c r="K63" s="7" t="s">
        <v>236</v>
      </c>
      <c r="L63" s="7" t="s">
        <v>81</v>
      </c>
      <c r="M63" s="8" t="str">
        <f t="shared" si="0"/>
        <v>R</v>
      </c>
      <c r="N63" s="8" t="str">
        <f t="shared" si="1"/>
        <v>Complete</v>
      </c>
    </row>
    <row r="64" spans="1:14" ht="27" customHeight="1">
      <c r="A64" s="6">
        <v>63</v>
      </c>
      <c r="B64" s="6" t="s">
        <v>231</v>
      </c>
      <c r="C64" s="6" t="s">
        <v>232</v>
      </c>
      <c r="D64" s="6" t="s">
        <v>86</v>
      </c>
      <c r="E64" s="6" t="s">
        <v>87</v>
      </c>
      <c r="F64" s="7" t="s">
        <v>77</v>
      </c>
      <c r="G64" s="7"/>
      <c r="H64" s="7" t="s">
        <v>94</v>
      </c>
      <c r="I64" s="7"/>
      <c r="J64" s="7" t="s">
        <v>237</v>
      </c>
      <c r="K64" s="7" t="s">
        <v>238</v>
      </c>
      <c r="L64" s="7" t="s">
        <v>81</v>
      </c>
      <c r="M64" s="8" t="str">
        <f t="shared" si="0"/>
        <v>U</v>
      </c>
      <c r="N64" s="8" t="str">
        <f t="shared" si="1"/>
        <v>Complete</v>
      </c>
    </row>
    <row r="65" spans="1:14" ht="40.5" customHeight="1">
      <c r="A65" s="6">
        <v>64</v>
      </c>
      <c r="B65" s="6" t="s">
        <v>231</v>
      </c>
      <c r="C65" s="6" t="s">
        <v>232</v>
      </c>
      <c r="D65" s="6" t="s">
        <v>92</v>
      </c>
      <c r="E65" s="6" t="s">
        <v>93</v>
      </c>
      <c r="F65" s="7" t="s">
        <v>77</v>
      </c>
      <c r="G65" s="7"/>
      <c r="H65" s="7" t="s">
        <v>94</v>
      </c>
      <c r="I65" s="7"/>
      <c r="J65" s="7" t="s">
        <v>239</v>
      </c>
      <c r="K65" s="7" t="s">
        <v>240</v>
      </c>
      <c r="L65" s="7" t="s">
        <v>81</v>
      </c>
      <c r="M65" s="8" t="str">
        <f t="shared" si="0"/>
        <v>U</v>
      </c>
      <c r="N65" s="8" t="str">
        <f t="shared" si="1"/>
        <v>Complete</v>
      </c>
    </row>
    <row r="66" spans="1:14" ht="27" customHeight="1">
      <c r="A66" s="6">
        <v>65</v>
      </c>
      <c r="B66" s="6" t="s">
        <v>231</v>
      </c>
      <c r="C66" s="6" t="s">
        <v>232</v>
      </c>
      <c r="D66" s="6" t="s">
        <v>97</v>
      </c>
      <c r="E66" s="6" t="s">
        <v>98</v>
      </c>
      <c r="F66" s="7" t="s">
        <v>77</v>
      </c>
      <c r="G66" s="7"/>
      <c r="H66" s="7" t="s">
        <v>94</v>
      </c>
      <c r="I66" s="7"/>
      <c r="J66" s="7" t="s">
        <v>241</v>
      </c>
      <c r="K66" s="7" t="s">
        <v>242</v>
      </c>
      <c r="L66" s="7" t="s">
        <v>81</v>
      </c>
      <c r="M66" s="8" t="str">
        <f t="shared" ref="M66:M129" si="2">IF(F66="Not applicable","NA",IF(F66="Applicable",IF(H66="","",H66),""))</f>
        <v>U</v>
      </c>
      <c r="N66" s="8" t="str">
        <f t="shared" ref="N66:N129" si="3">IF(F66="","Applicability missing",IF(AND(F66="Applicable",H66=""),"Record status missing",IF(AND(F66="Applicable",G66&lt;&gt;""),"Boundary strength must be blank for applicable rows",IF(AND(F66="Not applicable",G66=""),"Boundary strength missing",IF(AND(F66="Not applicable",H66&lt;&gt;""),"Record status must be blank for not-applicable rows",IF(AND(H66="R",I66=""),"Recovery stability missing",IF(J66="","Evidence location missing","Complete")))))))</f>
        <v>Complete</v>
      </c>
    </row>
    <row r="67" spans="1:14" ht="27" customHeight="1">
      <c r="A67" s="6">
        <v>66</v>
      </c>
      <c r="B67" s="6" t="s">
        <v>231</v>
      </c>
      <c r="C67" s="6" t="s">
        <v>232</v>
      </c>
      <c r="D67" s="6" t="s">
        <v>101</v>
      </c>
      <c r="E67" s="6" t="s">
        <v>102</v>
      </c>
      <c r="F67" s="7" t="s">
        <v>77</v>
      </c>
      <c r="G67" s="7"/>
      <c r="H67" s="7" t="s">
        <v>94</v>
      </c>
      <c r="I67" s="7"/>
      <c r="J67" s="7" t="s">
        <v>243</v>
      </c>
      <c r="K67" s="7" t="s">
        <v>244</v>
      </c>
      <c r="L67" s="7" t="s">
        <v>81</v>
      </c>
      <c r="M67" s="8" t="str">
        <f t="shared" si="2"/>
        <v>U</v>
      </c>
      <c r="N67" s="8" t="str">
        <f t="shared" si="3"/>
        <v>Complete</v>
      </c>
    </row>
    <row r="68" spans="1:14" ht="40.5" customHeight="1">
      <c r="A68" s="6">
        <v>67</v>
      </c>
      <c r="B68" s="6" t="s">
        <v>231</v>
      </c>
      <c r="C68" s="6" t="s">
        <v>232</v>
      </c>
      <c r="D68" s="6" t="s">
        <v>107</v>
      </c>
      <c r="E68" s="6" t="s">
        <v>108</v>
      </c>
      <c r="F68" s="7" t="s">
        <v>103</v>
      </c>
      <c r="G68" s="7" t="s">
        <v>104</v>
      </c>
      <c r="H68" s="7"/>
      <c r="I68" s="7"/>
      <c r="J68" s="7" t="s">
        <v>245</v>
      </c>
      <c r="K68" s="7" t="s">
        <v>246</v>
      </c>
      <c r="L68" s="7" t="s">
        <v>81</v>
      </c>
      <c r="M68" s="8" t="str">
        <f t="shared" si="2"/>
        <v>NA</v>
      </c>
      <c r="N68" s="8" t="str">
        <f t="shared" si="3"/>
        <v>Complete</v>
      </c>
    </row>
    <row r="69" spans="1:14" ht="40.5" customHeight="1">
      <c r="A69" s="6">
        <v>68</v>
      </c>
      <c r="B69" s="6" t="s">
        <v>231</v>
      </c>
      <c r="C69" s="6" t="s">
        <v>232</v>
      </c>
      <c r="D69" s="6" t="s">
        <v>112</v>
      </c>
      <c r="E69" s="6" t="s">
        <v>113</v>
      </c>
      <c r="F69" s="7" t="s">
        <v>103</v>
      </c>
      <c r="G69" s="7" t="s">
        <v>114</v>
      </c>
      <c r="H69" s="7"/>
      <c r="I69" s="7"/>
      <c r="J69" s="7" t="s">
        <v>247</v>
      </c>
      <c r="K69" s="7" t="s">
        <v>248</v>
      </c>
      <c r="L69" s="7" t="s">
        <v>132</v>
      </c>
      <c r="M69" s="8" t="str">
        <f t="shared" si="2"/>
        <v>NA</v>
      </c>
      <c r="N69" s="8" t="str">
        <f t="shared" si="3"/>
        <v>Complete</v>
      </c>
    </row>
    <row r="70" spans="1:14" ht="27" customHeight="1">
      <c r="A70" s="6">
        <v>69</v>
      </c>
      <c r="B70" s="6" t="s">
        <v>231</v>
      </c>
      <c r="C70" s="6" t="s">
        <v>232</v>
      </c>
      <c r="D70" s="6" t="s">
        <v>117</v>
      </c>
      <c r="E70" s="6" t="s">
        <v>118</v>
      </c>
      <c r="F70" s="7" t="s">
        <v>103</v>
      </c>
      <c r="G70" s="7" t="s">
        <v>104</v>
      </c>
      <c r="H70" s="7"/>
      <c r="I70" s="7"/>
      <c r="J70" s="7" t="s">
        <v>249</v>
      </c>
      <c r="K70" s="7" t="s">
        <v>250</v>
      </c>
      <c r="L70" s="7" t="s">
        <v>81</v>
      </c>
      <c r="M70" s="8" t="str">
        <f t="shared" si="2"/>
        <v>NA</v>
      </c>
      <c r="N70" s="8" t="str">
        <f t="shared" si="3"/>
        <v>Complete</v>
      </c>
    </row>
    <row r="71" spans="1:14" ht="40.5" customHeight="1">
      <c r="A71" s="6">
        <v>70</v>
      </c>
      <c r="B71" s="6" t="s">
        <v>231</v>
      </c>
      <c r="C71" s="6" t="s">
        <v>232</v>
      </c>
      <c r="D71" s="6" t="s">
        <v>122</v>
      </c>
      <c r="E71" s="6" t="s">
        <v>123</v>
      </c>
      <c r="F71" s="7" t="s">
        <v>103</v>
      </c>
      <c r="G71" s="7" t="s">
        <v>104</v>
      </c>
      <c r="H71" s="7"/>
      <c r="I71" s="7"/>
      <c r="J71" s="7" t="s">
        <v>251</v>
      </c>
      <c r="K71" s="7" t="s">
        <v>252</v>
      </c>
      <c r="L71" s="7" t="s">
        <v>111</v>
      </c>
      <c r="M71" s="8" t="str">
        <f t="shared" si="2"/>
        <v>NA</v>
      </c>
      <c r="N71" s="8" t="str">
        <f t="shared" si="3"/>
        <v>Complete</v>
      </c>
    </row>
    <row r="72" spans="1:14" ht="27" customHeight="1">
      <c r="A72" s="6">
        <v>71</v>
      </c>
      <c r="B72" s="6" t="s">
        <v>253</v>
      </c>
      <c r="C72" s="6" t="s">
        <v>254</v>
      </c>
      <c r="D72" s="6" t="s">
        <v>75</v>
      </c>
      <c r="E72" s="6" t="s">
        <v>76</v>
      </c>
      <c r="F72" s="7" t="s">
        <v>77</v>
      </c>
      <c r="G72" s="7"/>
      <c r="H72" s="7" t="s">
        <v>78</v>
      </c>
      <c r="I72" s="7"/>
      <c r="J72" s="7" t="s">
        <v>255</v>
      </c>
      <c r="K72" s="7" t="s">
        <v>256</v>
      </c>
      <c r="L72" s="7" t="s">
        <v>132</v>
      </c>
      <c r="M72" s="8" t="str">
        <f t="shared" si="2"/>
        <v>D</v>
      </c>
      <c r="N72" s="8" t="str">
        <f t="shared" si="3"/>
        <v>Complete</v>
      </c>
    </row>
    <row r="73" spans="1:14" ht="27" customHeight="1">
      <c r="A73" s="6">
        <v>72</v>
      </c>
      <c r="B73" s="6" t="s">
        <v>253</v>
      </c>
      <c r="C73" s="6" t="s">
        <v>254</v>
      </c>
      <c r="D73" s="6" t="s">
        <v>82</v>
      </c>
      <c r="E73" s="6" t="s">
        <v>83</v>
      </c>
      <c r="F73" s="7" t="s">
        <v>77</v>
      </c>
      <c r="G73" s="7"/>
      <c r="H73" s="7" t="s">
        <v>88</v>
      </c>
      <c r="I73" s="7" t="s">
        <v>89</v>
      </c>
      <c r="J73" s="7" t="s">
        <v>257</v>
      </c>
      <c r="K73" s="7" t="s">
        <v>258</v>
      </c>
      <c r="L73" s="7" t="s">
        <v>81</v>
      </c>
      <c r="M73" s="8" t="str">
        <f t="shared" si="2"/>
        <v>R</v>
      </c>
      <c r="N73" s="8" t="str">
        <f t="shared" si="3"/>
        <v>Complete</v>
      </c>
    </row>
    <row r="74" spans="1:14" ht="27" customHeight="1">
      <c r="A74" s="6">
        <v>73</v>
      </c>
      <c r="B74" s="6" t="s">
        <v>253</v>
      </c>
      <c r="C74" s="6" t="s">
        <v>254</v>
      </c>
      <c r="D74" s="6" t="s">
        <v>86</v>
      </c>
      <c r="E74" s="6" t="s">
        <v>87</v>
      </c>
      <c r="F74" s="7" t="s">
        <v>77</v>
      </c>
      <c r="G74" s="7"/>
      <c r="H74" s="7" t="s">
        <v>88</v>
      </c>
      <c r="I74" s="7" t="s">
        <v>119</v>
      </c>
      <c r="J74" s="7" t="s">
        <v>259</v>
      </c>
      <c r="K74" s="7" t="s">
        <v>260</v>
      </c>
      <c r="L74" s="7" t="s">
        <v>111</v>
      </c>
      <c r="M74" s="8" t="str">
        <f t="shared" si="2"/>
        <v>R</v>
      </c>
      <c r="N74" s="8" t="str">
        <f t="shared" si="3"/>
        <v>Complete</v>
      </c>
    </row>
    <row r="75" spans="1:14" ht="27" customHeight="1">
      <c r="A75" s="6">
        <v>74</v>
      </c>
      <c r="B75" s="6" t="s">
        <v>253</v>
      </c>
      <c r="C75" s="6" t="s">
        <v>254</v>
      </c>
      <c r="D75" s="6" t="s">
        <v>92</v>
      </c>
      <c r="E75" s="6" t="s">
        <v>93</v>
      </c>
      <c r="F75" s="7" t="s">
        <v>77</v>
      </c>
      <c r="G75" s="7"/>
      <c r="H75" s="7" t="s">
        <v>88</v>
      </c>
      <c r="I75" s="7" t="s">
        <v>119</v>
      </c>
      <c r="J75" s="7" t="s">
        <v>261</v>
      </c>
      <c r="K75" s="7" t="s">
        <v>262</v>
      </c>
      <c r="L75" s="7" t="s">
        <v>111</v>
      </c>
      <c r="M75" s="8" t="str">
        <f t="shared" si="2"/>
        <v>R</v>
      </c>
      <c r="N75" s="8" t="str">
        <f t="shared" si="3"/>
        <v>Complete</v>
      </c>
    </row>
    <row r="76" spans="1:14" ht="27" customHeight="1">
      <c r="A76" s="6">
        <v>75</v>
      </c>
      <c r="B76" s="6" t="s">
        <v>253</v>
      </c>
      <c r="C76" s="6" t="s">
        <v>254</v>
      </c>
      <c r="D76" s="6" t="s">
        <v>97</v>
      </c>
      <c r="E76" s="6" t="s">
        <v>98</v>
      </c>
      <c r="F76" s="7" t="s">
        <v>77</v>
      </c>
      <c r="G76" s="7"/>
      <c r="H76" s="7" t="s">
        <v>88</v>
      </c>
      <c r="I76" s="7" t="s">
        <v>119</v>
      </c>
      <c r="J76" s="7" t="s">
        <v>263</v>
      </c>
      <c r="K76" s="7" t="s">
        <v>264</v>
      </c>
      <c r="L76" s="7" t="s">
        <v>111</v>
      </c>
      <c r="M76" s="8" t="str">
        <f t="shared" si="2"/>
        <v>R</v>
      </c>
      <c r="N76" s="8" t="str">
        <f t="shared" si="3"/>
        <v>Complete</v>
      </c>
    </row>
    <row r="77" spans="1:14" ht="27" customHeight="1">
      <c r="A77" s="6">
        <v>76</v>
      </c>
      <c r="B77" s="6" t="s">
        <v>253</v>
      </c>
      <c r="C77" s="6" t="s">
        <v>254</v>
      </c>
      <c r="D77" s="6" t="s">
        <v>101</v>
      </c>
      <c r="E77" s="6" t="s">
        <v>102</v>
      </c>
      <c r="F77" s="7" t="s">
        <v>103</v>
      </c>
      <c r="G77" s="7" t="s">
        <v>104</v>
      </c>
      <c r="H77" s="7"/>
      <c r="I77" s="7"/>
      <c r="J77" s="7" t="s">
        <v>265</v>
      </c>
      <c r="K77" s="7" t="s">
        <v>266</v>
      </c>
      <c r="L77" s="7" t="s">
        <v>81</v>
      </c>
      <c r="M77" s="8" t="str">
        <f t="shared" si="2"/>
        <v>NA</v>
      </c>
      <c r="N77" s="8" t="str">
        <f t="shared" si="3"/>
        <v>Complete</v>
      </c>
    </row>
    <row r="78" spans="1:14" ht="40.5" customHeight="1">
      <c r="A78" s="6">
        <v>77</v>
      </c>
      <c r="B78" s="6" t="s">
        <v>253</v>
      </c>
      <c r="C78" s="6" t="s">
        <v>254</v>
      </c>
      <c r="D78" s="6" t="s">
        <v>107</v>
      </c>
      <c r="E78" s="6" t="s">
        <v>108</v>
      </c>
      <c r="F78" s="7" t="s">
        <v>103</v>
      </c>
      <c r="G78" s="7" t="s">
        <v>104</v>
      </c>
      <c r="H78" s="7"/>
      <c r="I78" s="7"/>
      <c r="J78" s="7" t="s">
        <v>267</v>
      </c>
      <c r="K78" s="7" t="s">
        <v>268</v>
      </c>
      <c r="L78" s="7" t="s">
        <v>81</v>
      </c>
      <c r="M78" s="8" t="str">
        <f t="shared" si="2"/>
        <v>NA</v>
      </c>
      <c r="N78" s="8" t="str">
        <f t="shared" si="3"/>
        <v>Complete</v>
      </c>
    </row>
    <row r="79" spans="1:14" ht="40.5" customHeight="1">
      <c r="A79" s="6">
        <v>78</v>
      </c>
      <c r="B79" s="6" t="s">
        <v>253</v>
      </c>
      <c r="C79" s="6" t="s">
        <v>254</v>
      </c>
      <c r="D79" s="6" t="s">
        <v>112</v>
      </c>
      <c r="E79" s="6" t="s">
        <v>113</v>
      </c>
      <c r="F79" s="7" t="s">
        <v>103</v>
      </c>
      <c r="G79" s="7" t="s">
        <v>114</v>
      </c>
      <c r="H79" s="7"/>
      <c r="I79" s="7"/>
      <c r="J79" s="7" t="s">
        <v>269</v>
      </c>
      <c r="K79" s="7" t="s">
        <v>270</v>
      </c>
      <c r="L79" s="7" t="s">
        <v>81</v>
      </c>
      <c r="M79" s="8" t="str">
        <f t="shared" si="2"/>
        <v>NA</v>
      </c>
      <c r="N79" s="8" t="str">
        <f t="shared" si="3"/>
        <v>Complete</v>
      </c>
    </row>
    <row r="80" spans="1:14" ht="40.5" customHeight="1">
      <c r="A80" s="6">
        <v>79</v>
      </c>
      <c r="B80" s="6" t="s">
        <v>253</v>
      </c>
      <c r="C80" s="6" t="s">
        <v>254</v>
      </c>
      <c r="D80" s="6" t="s">
        <v>117</v>
      </c>
      <c r="E80" s="6" t="s">
        <v>118</v>
      </c>
      <c r="F80" s="7" t="s">
        <v>103</v>
      </c>
      <c r="G80" s="7" t="s">
        <v>104</v>
      </c>
      <c r="H80" s="7"/>
      <c r="I80" s="7"/>
      <c r="J80" s="7" t="s">
        <v>267</v>
      </c>
      <c r="K80" s="7" t="s">
        <v>271</v>
      </c>
      <c r="L80" s="7" t="s">
        <v>81</v>
      </c>
      <c r="M80" s="8" t="str">
        <f t="shared" si="2"/>
        <v>NA</v>
      </c>
      <c r="N80" s="8" t="str">
        <f t="shared" si="3"/>
        <v>Complete</v>
      </c>
    </row>
    <row r="81" spans="1:14" ht="40.5" customHeight="1">
      <c r="A81" s="6">
        <v>80</v>
      </c>
      <c r="B81" s="6" t="s">
        <v>253</v>
      </c>
      <c r="C81" s="6" t="s">
        <v>254</v>
      </c>
      <c r="D81" s="6" t="s">
        <v>122</v>
      </c>
      <c r="E81" s="6" t="s">
        <v>123</v>
      </c>
      <c r="F81" s="7" t="s">
        <v>103</v>
      </c>
      <c r="G81" s="7" t="s">
        <v>104</v>
      </c>
      <c r="H81" s="7"/>
      <c r="I81" s="7"/>
      <c r="J81" s="7" t="s">
        <v>272</v>
      </c>
      <c r="K81" s="7" t="s">
        <v>273</v>
      </c>
      <c r="L81" s="7" t="s">
        <v>81</v>
      </c>
      <c r="M81" s="8" t="str">
        <f t="shared" si="2"/>
        <v>NA</v>
      </c>
      <c r="N81" s="8" t="str">
        <f t="shared" si="3"/>
        <v>Complete</v>
      </c>
    </row>
    <row r="82" spans="1:14" ht="27" customHeight="1">
      <c r="A82" s="6">
        <v>81</v>
      </c>
      <c r="B82" s="6" t="s">
        <v>274</v>
      </c>
      <c r="C82" s="6" t="s">
        <v>275</v>
      </c>
      <c r="D82" s="6" t="s">
        <v>75</v>
      </c>
      <c r="E82" s="6" t="s">
        <v>76</v>
      </c>
      <c r="F82" s="7" t="s">
        <v>77</v>
      </c>
      <c r="G82" s="7"/>
      <c r="H82" s="7" t="s">
        <v>78</v>
      </c>
      <c r="I82" s="7"/>
      <c r="J82" s="7" t="s">
        <v>276</v>
      </c>
      <c r="K82" s="7" t="s">
        <v>277</v>
      </c>
      <c r="L82" s="7" t="s">
        <v>132</v>
      </c>
      <c r="M82" s="8" t="str">
        <f t="shared" si="2"/>
        <v>D</v>
      </c>
      <c r="N82" s="8" t="str">
        <f t="shared" si="3"/>
        <v>Complete</v>
      </c>
    </row>
    <row r="83" spans="1:14" ht="27" customHeight="1">
      <c r="A83" s="6">
        <v>82</v>
      </c>
      <c r="B83" s="6" t="s">
        <v>274</v>
      </c>
      <c r="C83" s="6" t="s">
        <v>275</v>
      </c>
      <c r="D83" s="6" t="s">
        <v>82</v>
      </c>
      <c r="E83" s="6" t="s">
        <v>83</v>
      </c>
      <c r="F83" s="7" t="s">
        <v>77</v>
      </c>
      <c r="G83" s="7"/>
      <c r="H83" s="7" t="s">
        <v>78</v>
      </c>
      <c r="I83" s="7"/>
      <c r="J83" s="7" t="s">
        <v>278</v>
      </c>
      <c r="K83" s="7" t="s">
        <v>279</v>
      </c>
      <c r="L83" s="7" t="s">
        <v>81</v>
      </c>
      <c r="M83" s="8" t="str">
        <f t="shared" si="2"/>
        <v>D</v>
      </c>
      <c r="N83" s="8" t="str">
        <f t="shared" si="3"/>
        <v>Complete</v>
      </c>
    </row>
    <row r="84" spans="1:14" ht="27" customHeight="1">
      <c r="A84" s="6">
        <v>83</v>
      </c>
      <c r="B84" s="6" t="s">
        <v>274</v>
      </c>
      <c r="C84" s="6" t="s">
        <v>275</v>
      </c>
      <c r="D84" s="6" t="s">
        <v>86</v>
      </c>
      <c r="E84" s="6" t="s">
        <v>87</v>
      </c>
      <c r="F84" s="7" t="s">
        <v>103</v>
      </c>
      <c r="G84" s="7" t="s">
        <v>104</v>
      </c>
      <c r="H84" s="7"/>
      <c r="I84" s="7"/>
      <c r="J84" s="7" t="s">
        <v>280</v>
      </c>
      <c r="K84" s="7" t="s">
        <v>281</v>
      </c>
      <c r="L84" s="7" t="s">
        <v>81</v>
      </c>
      <c r="M84" s="8" t="str">
        <f t="shared" si="2"/>
        <v>NA</v>
      </c>
      <c r="N84" s="8" t="str">
        <f t="shared" si="3"/>
        <v>Complete</v>
      </c>
    </row>
    <row r="85" spans="1:14" ht="27" customHeight="1">
      <c r="A85" s="6">
        <v>84</v>
      </c>
      <c r="B85" s="6" t="s">
        <v>274</v>
      </c>
      <c r="C85" s="6" t="s">
        <v>275</v>
      </c>
      <c r="D85" s="6" t="s">
        <v>92</v>
      </c>
      <c r="E85" s="6" t="s">
        <v>93</v>
      </c>
      <c r="F85" s="7" t="s">
        <v>77</v>
      </c>
      <c r="G85" s="7"/>
      <c r="H85" s="7" t="s">
        <v>88</v>
      </c>
      <c r="I85" s="7" t="s">
        <v>89</v>
      </c>
      <c r="J85" s="7" t="s">
        <v>282</v>
      </c>
      <c r="K85" s="7" t="s">
        <v>283</v>
      </c>
      <c r="L85" s="7" t="s">
        <v>111</v>
      </c>
      <c r="M85" s="8" t="str">
        <f t="shared" si="2"/>
        <v>R</v>
      </c>
      <c r="N85" s="8" t="str">
        <f t="shared" si="3"/>
        <v>Complete</v>
      </c>
    </row>
    <row r="86" spans="1:14" ht="27" customHeight="1">
      <c r="A86" s="6">
        <v>85</v>
      </c>
      <c r="B86" s="6" t="s">
        <v>274</v>
      </c>
      <c r="C86" s="6" t="s">
        <v>275</v>
      </c>
      <c r="D86" s="6" t="s">
        <v>97</v>
      </c>
      <c r="E86" s="6" t="s">
        <v>98</v>
      </c>
      <c r="F86" s="7" t="s">
        <v>77</v>
      </c>
      <c r="G86" s="7"/>
      <c r="H86" s="7" t="s">
        <v>94</v>
      </c>
      <c r="I86" s="7"/>
      <c r="J86" s="7" t="s">
        <v>284</v>
      </c>
      <c r="K86" s="7" t="s">
        <v>285</v>
      </c>
      <c r="L86" s="7" t="s">
        <v>81</v>
      </c>
      <c r="M86" s="8" t="str">
        <f t="shared" si="2"/>
        <v>U</v>
      </c>
      <c r="N86" s="8" t="str">
        <f t="shared" si="3"/>
        <v>Complete</v>
      </c>
    </row>
    <row r="87" spans="1:14" ht="27" customHeight="1">
      <c r="A87" s="6">
        <v>86</v>
      </c>
      <c r="B87" s="6" t="s">
        <v>274</v>
      </c>
      <c r="C87" s="6" t="s">
        <v>275</v>
      </c>
      <c r="D87" s="6" t="s">
        <v>101</v>
      </c>
      <c r="E87" s="6" t="s">
        <v>102</v>
      </c>
      <c r="F87" s="7" t="s">
        <v>103</v>
      </c>
      <c r="G87" s="7" t="s">
        <v>104</v>
      </c>
      <c r="H87" s="7"/>
      <c r="I87" s="7"/>
      <c r="J87" s="7" t="s">
        <v>286</v>
      </c>
      <c r="K87" s="7" t="s">
        <v>287</v>
      </c>
      <c r="L87" s="7" t="s">
        <v>81</v>
      </c>
      <c r="M87" s="8" t="str">
        <f t="shared" si="2"/>
        <v>NA</v>
      </c>
      <c r="N87" s="8" t="str">
        <f t="shared" si="3"/>
        <v>Complete</v>
      </c>
    </row>
    <row r="88" spans="1:14" ht="27" customHeight="1">
      <c r="A88" s="6">
        <v>87</v>
      </c>
      <c r="B88" s="6" t="s">
        <v>274</v>
      </c>
      <c r="C88" s="6" t="s">
        <v>275</v>
      </c>
      <c r="D88" s="6" t="s">
        <v>107</v>
      </c>
      <c r="E88" s="6" t="s">
        <v>108</v>
      </c>
      <c r="F88" s="7" t="s">
        <v>77</v>
      </c>
      <c r="G88" s="7"/>
      <c r="H88" s="7" t="s">
        <v>78</v>
      </c>
      <c r="I88" s="7"/>
      <c r="J88" s="7" t="s">
        <v>288</v>
      </c>
      <c r="K88" s="7" t="s">
        <v>289</v>
      </c>
      <c r="L88" s="7" t="s">
        <v>111</v>
      </c>
      <c r="M88" s="8" t="str">
        <f t="shared" si="2"/>
        <v>D</v>
      </c>
      <c r="N88" s="8" t="str">
        <f t="shared" si="3"/>
        <v>Complete</v>
      </c>
    </row>
    <row r="89" spans="1:14" ht="40.5" customHeight="1">
      <c r="A89" s="6">
        <v>88</v>
      </c>
      <c r="B89" s="6" t="s">
        <v>274</v>
      </c>
      <c r="C89" s="6" t="s">
        <v>275</v>
      </c>
      <c r="D89" s="6" t="s">
        <v>112</v>
      </c>
      <c r="E89" s="6" t="s">
        <v>113</v>
      </c>
      <c r="F89" s="7" t="s">
        <v>103</v>
      </c>
      <c r="G89" s="7" t="s">
        <v>114</v>
      </c>
      <c r="H89" s="7"/>
      <c r="I89" s="7"/>
      <c r="J89" s="7" t="s">
        <v>290</v>
      </c>
      <c r="K89" s="7" t="s">
        <v>184</v>
      </c>
      <c r="L89" s="7" t="s">
        <v>132</v>
      </c>
      <c r="M89" s="8" t="str">
        <f t="shared" si="2"/>
        <v>NA</v>
      </c>
      <c r="N89" s="8" t="str">
        <f t="shared" si="3"/>
        <v>Complete</v>
      </c>
    </row>
    <row r="90" spans="1:14" ht="40.5" customHeight="1">
      <c r="A90" s="6">
        <v>89</v>
      </c>
      <c r="B90" s="6" t="s">
        <v>274</v>
      </c>
      <c r="C90" s="6" t="s">
        <v>275</v>
      </c>
      <c r="D90" s="6" t="s">
        <v>117</v>
      </c>
      <c r="E90" s="6" t="s">
        <v>118</v>
      </c>
      <c r="F90" s="7" t="s">
        <v>103</v>
      </c>
      <c r="G90" s="7" t="s">
        <v>104</v>
      </c>
      <c r="H90" s="7"/>
      <c r="I90" s="7"/>
      <c r="J90" s="7" t="s">
        <v>291</v>
      </c>
      <c r="K90" s="7" t="s">
        <v>292</v>
      </c>
      <c r="L90" s="7" t="s">
        <v>81</v>
      </c>
      <c r="M90" s="8" t="str">
        <f t="shared" si="2"/>
        <v>NA</v>
      </c>
      <c r="N90" s="8" t="str">
        <f t="shared" si="3"/>
        <v>Complete</v>
      </c>
    </row>
    <row r="91" spans="1:14" ht="27" customHeight="1">
      <c r="A91" s="6">
        <v>90</v>
      </c>
      <c r="B91" s="6" t="s">
        <v>274</v>
      </c>
      <c r="C91" s="6" t="s">
        <v>275</v>
      </c>
      <c r="D91" s="6" t="s">
        <v>122</v>
      </c>
      <c r="E91" s="6" t="s">
        <v>123</v>
      </c>
      <c r="F91" s="7" t="s">
        <v>77</v>
      </c>
      <c r="G91" s="7"/>
      <c r="H91" s="7" t="s">
        <v>88</v>
      </c>
      <c r="I91" s="7" t="s">
        <v>89</v>
      </c>
      <c r="J91" s="7" t="s">
        <v>282</v>
      </c>
      <c r="K91" s="7" t="s">
        <v>293</v>
      </c>
      <c r="L91" s="7" t="s">
        <v>111</v>
      </c>
      <c r="M91" s="8" t="str">
        <f t="shared" si="2"/>
        <v>R</v>
      </c>
      <c r="N91" s="8" t="str">
        <f t="shared" si="3"/>
        <v>Complete</v>
      </c>
    </row>
    <row r="92" spans="1:14" ht="27" customHeight="1">
      <c r="A92" s="6">
        <v>91</v>
      </c>
      <c r="B92" s="6" t="s">
        <v>294</v>
      </c>
      <c r="C92" s="6" t="s">
        <v>295</v>
      </c>
      <c r="D92" s="6" t="s">
        <v>75</v>
      </c>
      <c r="E92" s="6" t="s">
        <v>76</v>
      </c>
      <c r="F92" s="7" t="s">
        <v>77</v>
      </c>
      <c r="G92" s="7"/>
      <c r="H92" s="7" t="s">
        <v>78</v>
      </c>
      <c r="I92" s="7"/>
      <c r="J92" s="7" t="s">
        <v>296</v>
      </c>
      <c r="K92" s="7" t="s">
        <v>297</v>
      </c>
      <c r="L92" s="7" t="s">
        <v>132</v>
      </c>
      <c r="M92" s="8" t="str">
        <f t="shared" si="2"/>
        <v>D</v>
      </c>
      <c r="N92" s="8" t="str">
        <f t="shared" si="3"/>
        <v>Complete</v>
      </c>
    </row>
    <row r="93" spans="1:14" ht="27" customHeight="1">
      <c r="A93" s="6">
        <v>92</v>
      </c>
      <c r="B93" s="6" t="s">
        <v>294</v>
      </c>
      <c r="C93" s="6" t="s">
        <v>295</v>
      </c>
      <c r="D93" s="6" t="s">
        <v>82</v>
      </c>
      <c r="E93" s="6" t="s">
        <v>83</v>
      </c>
      <c r="F93" s="7" t="s">
        <v>77</v>
      </c>
      <c r="G93" s="7"/>
      <c r="H93" s="7" t="s">
        <v>78</v>
      </c>
      <c r="I93" s="7"/>
      <c r="J93" s="7" t="s">
        <v>298</v>
      </c>
      <c r="K93" s="7" t="s">
        <v>299</v>
      </c>
      <c r="L93" s="7" t="s">
        <v>81</v>
      </c>
      <c r="M93" s="8" t="str">
        <f t="shared" si="2"/>
        <v>D</v>
      </c>
      <c r="N93" s="8" t="str">
        <f t="shared" si="3"/>
        <v>Complete</v>
      </c>
    </row>
    <row r="94" spans="1:14" ht="27" customHeight="1">
      <c r="A94" s="6">
        <v>93</v>
      </c>
      <c r="B94" s="6" t="s">
        <v>294</v>
      </c>
      <c r="C94" s="6" t="s">
        <v>295</v>
      </c>
      <c r="D94" s="6" t="s">
        <v>86</v>
      </c>
      <c r="E94" s="6" t="s">
        <v>87</v>
      </c>
      <c r="F94" s="7" t="s">
        <v>77</v>
      </c>
      <c r="G94" s="7"/>
      <c r="H94" s="7" t="s">
        <v>88</v>
      </c>
      <c r="I94" s="7" t="s">
        <v>119</v>
      </c>
      <c r="J94" s="7" t="s">
        <v>300</v>
      </c>
      <c r="K94" s="7" t="s">
        <v>301</v>
      </c>
      <c r="L94" s="7" t="s">
        <v>81</v>
      </c>
      <c r="M94" s="8" t="str">
        <f t="shared" si="2"/>
        <v>R</v>
      </c>
      <c r="N94" s="8" t="str">
        <f t="shared" si="3"/>
        <v>Complete</v>
      </c>
    </row>
    <row r="95" spans="1:14" ht="27" customHeight="1">
      <c r="A95" s="6">
        <v>94</v>
      </c>
      <c r="B95" s="6" t="s">
        <v>294</v>
      </c>
      <c r="C95" s="6" t="s">
        <v>295</v>
      </c>
      <c r="D95" s="6" t="s">
        <v>92</v>
      </c>
      <c r="E95" s="6" t="s">
        <v>93</v>
      </c>
      <c r="F95" s="7" t="s">
        <v>77</v>
      </c>
      <c r="G95" s="7"/>
      <c r="H95" s="7" t="s">
        <v>88</v>
      </c>
      <c r="I95" s="7" t="s">
        <v>119</v>
      </c>
      <c r="J95" s="7" t="s">
        <v>302</v>
      </c>
      <c r="K95" s="7" t="s">
        <v>303</v>
      </c>
      <c r="L95" s="7" t="s">
        <v>111</v>
      </c>
      <c r="M95" s="8" t="str">
        <f t="shared" si="2"/>
        <v>R</v>
      </c>
      <c r="N95" s="8" t="str">
        <f t="shared" si="3"/>
        <v>Complete</v>
      </c>
    </row>
    <row r="96" spans="1:14" ht="40.5" customHeight="1">
      <c r="A96" s="6">
        <v>95</v>
      </c>
      <c r="B96" s="6" t="s">
        <v>294</v>
      </c>
      <c r="C96" s="6" t="s">
        <v>295</v>
      </c>
      <c r="D96" s="6" t="s">
        <v>97</v>
      </c>
      <c r="E96" s="6" t="s">
        <v>98</v>
      </c>
      <c r="F96" s="7" t="s">
        <v>77</v>
      </c>
      <c r="G96" s="7"/>
      <c r="H96" s="7" t="s">
        <v>94</v>
      </c>
      <c r="I96" s="7"/>
      <c r="J96" s="7" t="s">
        <v>304</v>
      </c>
      <c r="K96" s="7" t="s">
        <v>305</v>
      </c>
      <c r="L96" s="7" t="s">
        <v>81</v>
      </c>
      <c r="M96" s="8" t="str">
        <f t="shared" si="2"/>
        <v>U</v>
      </c>
      <c r="N96" s="8" t="str">
        <f t="shared" si="3"/>
        <v>Complete</v>
      </c>
    </row>
    <row r="97" spans="1:14" ht="27" customHeight="1">
      <c r="A97" s="6">
        <v>96</v>
      </c>
      <c r="B97" s="6" t="s">
        <v>294</v>
      </c>
      <c r="C97" s="6" t="s">
        <v>295</v>
      </c>
      <c r="D97" s="6" t="s">
        <v>101</v>
      </c>
      <c r="E97" s="6" t="s">
        <v>102</v>
      </c>
      <c r="F97" s="7" t="s">
        <v>103</v>
      </c>
      <c r="G97" s="7" t="s">
        <v>104</v>
      </c>
      <c r="H97" s="7"/>
      <c r="I97" s="7"/>
      <c r="J97" s="7" t="s">
        <v>306</v>
      </c>
      <c r="K97" s="7" t="s">
        <v>307</v>
      </c>
      <c r="L97" s="7" t="s">
        <v>81</v>
      </c>
      <c r="M97" s="8" t="str">
        <f t="shared" si="2"/>
        <v>NA</v>
      </c>
      <c r="N97" s="8" t="str">
        <f t="shared" si="3"/>
        <v>Complete</v>
      </c>
    </row>
    <row r="98" spans="1:14" ht="40.5" customHeight="1">
      <c r="A98" s="6">
        <v>97</v>
      </c>
      <c r="B98" s="6" t="s">
        <v>294</v>
      </c>
      <c r="C98" s="6" t="s">
        <v>295</v>
      </c>
      <c r="D98" s="6" t="s">
        <v>107</v>
      </c>
      <c r="E98" s="6" t="s">
        <v>108</v>
      </c>
      <c r="F98" s="7" t="s">
        <v>103</v>
      </c>
      <c r="G98" s="7" t="s">
        <v>104</v>
      </c>
      <c r="H98" s="7"/>
      <c r="I98" s="7"/>
      <c r="J98" s="7" t="s">
        <v>308</v>
      </c>
      <c r="K98" s="7" t="s">
        <v>309</v>
      </c>
      <c r="L98" s="7" t="s">
        <v>81</v>
      </c>
      <c r="M98" s="8" t="str">
        <f t="shared" si="2"/>
        <v>NA</v>
      </c>
      <c r="N98" s="8" t="str">
        <f t="shared" si="3"/>
        <v>Complete</v>
      </c>
    </row>
    <row r="99" spans="1:14" ht="40.5" customHeight="1">
      <c r="A99" s="6">
        <v>98</v>
      </c>
      <c r="B99" s="6" t="s">
        <v>294</v>
      </c>
      <c r="C99" s="6" t="s">
        <v>295</v>
      </c>
      <c r="D99" s="6" t="s">
        <v>112</v>
      </c>
      <c r="E99" s="6" t="s">
        <v>113</v>
      </c>
      <c r="F99" s="7" t="s">
        <v>103</v>
      </c>
      <c r="G99" s="7" t="s">
        <v>114</v>
      </c>
      <c r="H99" s="7"/>
      <c r="I99" s="7"/>
      <c r="J99" s="7" t="s">
        <v>310</v>
      </c>
      <c r="K99" s="7" t="s">
        <v>311</v>
      </c>
      <c r="L99" s="7" t="s">
        <v>132</v>
      </c>
      <c r="M99" s="8" t="str">
        <f t="shared" si="2"/>
        <v>NA</v>
      </c>
      <c r="N99" s="8" t="str">
        <f t="shared" si="3"/>
        <v>Complete</v>
      </c>
    </row>
    <row r="100" spans="1:14" ht="27" customHeight="1">
      <c r="A100" s="6">
        <v>99</v>
      </c>
      <c r="B100" s="6" t="s">
        <v>294</v>
      </c>
      <c r="C100" s="6" t="s">
        <v>295</v>
      </c>
      <c r="D100" s="6" t="s">
        <v>117</v>
      </c>
      <c r="E100" s="6" t="s">
        <v>118</v>
      </c>
      <c r="F100" s="7" t="s">
        <v>77</v>
      </c>
      <c r="G100" s="7"/>
      <c r="H100" s="7" t="s">
        <v>88</v>
      </c>
      <c r="I100" s="7" t="s">
        <v>89</v>
      </c>
      <c r="J100" s="7" t="s">
        <v>312</v>
      </c>
      <c r="K100" s="7" t="s">
        <v>313</v>
      </c>
      <c r="L100" s="7" t="s">
        <v>111</v>
      </c>
      <c r="M100" s="8" t="str">
        <f t="shared" si="2"/>
        <v>R</v>
      </c>
      <c r="N100" s="8" t="str">
        <f t="shared" si="3"/>
        <v>Complete</v>
      </c>
    </row>
    <row r="101" spans="1:14" ht="40.5" customHeight="1">
      <c r="A101" s="6">
        <v>100</v>
      </c>
      <c r="B101" s="6" t="s">
        <v>294</v>
      </c>
      <c r="C101" s="6" t="s">
        <v>295</v>
      </c>
      <c r="D101" s="6" t="s">
        <v>122</v>
      </c>
      <c r="E101" s="6" t="s">
        <v>123</v>
      </c>
      <c r="F101" s="7" t="s">
        <v>103</v>
      </c>
      <c r="G101" s="7" t="s">
        <v>104</v>
      </c>
      <c r="H101" s="7"/>
      <c r="I101" s="7"/>
      <c r="J101" s="7" t="s">
        <v>310</v>
      </c>
      <c r="K101" s="7" t="s">
        <v>314</v>
      </c>
      <c r="L101" s="7" t="s">
        <v>81</v>
      </c>
      <c r="M101" s="8" t="str">
        <f t="shared" si="2"/>
        <v>NA</v>
      </c>
      <c r="N101" s="8" t="str">
        <f t="shared" si="3"/>
        <v>Complete</v>
      </c>
    </row>
    <row r="102" spans="1:14" ht="27" customHeight="1">
      <c r="A102" s="6">
        <v>101</v>
      </c>
      <c r="B102" s="6" t="s">
        <v>315</v>
      </c>
      <c r="C102" s="6" t="s">
        <v>316</v>
      </c>
      <c r="D102" s="6" t="s">
        <v>75</v>
      </c>
      <c r="E102" s="6" t="s">
        <v>76</v>
      </c>
      <c r="F102" s="7" t="s">
        <v>77</v>
      </c>
      <c r="G102" s="7"/>
      <c r="H102" s="7" t="s">
        <v>78</v>
      </c>
      <c r="I102" s="7"/>
      <c r="J102" s="7" t="s">
        <v>317</v>
      </c>
      <c r="K102" s="7" t="s">
        <v>318</v>
      </c>
      <c r="L102" s="7" t="s">
        <v>132</v>
      </c>
      <c r="M102" s="8" t="str">
        <f t="shared" si="2"/>
        <v>D</v>
      </c>
      <c r="N102" s="8" t="str">
        <f t="shared" si="3"/>
        <v>Complete</v>
      </c>
    </row>
    <row r="103" spans="1:14" ht="27" customHeight="1">
      <c r="A103" s="6">
        <v>102</v>
      </c>
      <c r="B103" s="6" t="s">
        <v>315</v>
      </c>
      <c r="C103" s="6" t="s">
        <v>316</v>
      </c>
      <c r="D103" s="6" t="s">
        <v>82</v>
      </c>
      <c r="E103" s="6" t="s">
        <v>83</v>
      </c>
      <c r="F103" s="7" t="s">
        <v>77</v>
      </c>
      <c r="G103" s="7"/>
      <c r="H103" s="7" t="s">
        <v>78</v>
      </c>
      <c r="I103" s="7"/>
      <c r="J103" s="7" t="s">
        <v>319</v>
      </c>
      <c r="K103" s="7" t="s">
        <v>320</v>
      </c>
      <c r="L103" s="7" t="s">
        <v>81</v>
      </c>
      <c r="M103" s="8" t="str">
        <f t="shared" si="2"/>
        <v>D</v>
      </c>
      <c r="N103" s="8" t="str">
        <f t="shared" si="3"/>
        <v>Complete</v>
      </c>
    </row>
    <row r="104" spans="1:14" ht="40.5" customHeight="1">
      <c r="A104" s="6">
        <v>103</v>
      </c>
      <c r="B104" s="6" t="s">
        <v>315</v>
      </c>
      <c r="C104" s="6" t="s">
        <v>316</v>
      </c>
      <c r="D104" s="6" t="s">
        <v>86</v>
      </c>
      <c r="E104" s="6" t="s">
        <v>87</v>
      </c>
      <c r="F104" s="7" t="s">
        <v>77</v>
      </c>
      <c r="G104" s="7"/>
      <c r="H104" s="7" t="s">
        <v>78</v>
      </c>
      <c r="I104" s="7"/>
      <c r="J104" s="7" t="s">
        <v>321</v>
      </c>
      <c r="K104" s="7" t="s">
        <v>322</v>
      </c>
      <c r="L104" s="7" t="s">
        <v>132</v>
      </c>
      <c r="M104" s="8" t="str">
        <f t="shared" si="2"/>
        <v>D</v>
      </c>
      <c r="N104" s="8" t="str">
        <f t="shared" si="3"/>
        <v>Complete</v>
      </c>
    </row>
    <row r="105" spans="1:14" ht="27" customHeight="1">
      <c r="A105" s="6">
        <v>104</v>
      </c>
      <c r="B105" s="6" t="s">
        <v>315</v>
      </c>
      <c r="C105" s="6" t="s">
        <v>316</v>
      </c>
      <c r="D105" s="6" t="s">
        <v>92</v>
      </c>
      <c r="E105" s="6" t="s">
        <v>93</v>
      </c>
      <c r="F105" s="7" t="s">
        <v>77</v>
      </c>
      <c r="G105" s="7"/>
      <c r="H105" s="7" t="s">
        <v>94</v>
      </c>
      <c r="I105" s="7"/>
      <c r="J105" s="7" t="s">
        <v>323</v>
      </c>
      <c r="K105" s="7" t="s">
        <v>324</v>
      </c>
      <c r="L105" s="7" t="s">
        <v>81</v>
      </c>
      <c r="M105" s="8" t="str">
        <f t="shared" si="2"/>
        <v>U</v>
      </c>
      <c r="N105" s="8" t="str">
        <f t="shared" si="3"/>
        <v>Complete</v>
      </c>
    </row>
    <row r="106" spans="1:14" ht="27" customHeight="1">
      <c r="A106" s="6">
        <v>105</v>
      </c>
      <c r="B106" s="6" t="s">
        <v>315</v>
      </c>
      <c r="C106" s="6" t="s">
        <v>316</v>
      </c>
      <c r="D106" s="6" t="s">
        <v>97</v>
      </c>
      <c r="E106" s="6" t="s">
        <v>98</v>
      </c>
      <c r="F106" s="7" t="s">
        <v>77</v>
      </c>
      <c r="G106" s="7"/>
      <c r="H106" s="7" t="s">
        <v>94</v>
      </c>
      <c r="I106" s="7"/>
      <c r="J106" s="7" t="s">
        <v>325</v>
      </c>
      <c r="K106" s="7" t="s">
        <v>326</v>
      </c>
      <c r="L106" s="7" t="s">
        <v>81</v>
      </c>
      <c r="M106" s="8" t="str">
        <f t="shared" si="2"/>
        <v>U</v>
      </c>
      <c r="N106" s="8" t="str">
        <f t="shared" si="3"/>
        <v>Complete</v>
      </c>
    </row>
    <row r="107" spans="1:14" ht="27" customHeight="1">
      <c r="A107" s="6">
        <v>106</v>
      </c>
      <c r="B107" s="6" t="s">
        <v>315</v>
      </c>
      <c r="C107" s="6" t="s">
        <v>316</v>
      </c>
      <c r="D107" s="6" t="s">
        <v>101</v>
      </c>
      <c r="E107" s="6" t="s">
        <v>102</v>
      </c>
      <c r="F107" s="7" t="s">
        <v>77</v>
      </c>
      <c r="G107" s="7"/>
      <c r="H107" s="7" t="s">
        <v>94</v>
      </c>
      <c r="I107" s="7"/>
      <c r="J107" s="7" t="s">
        <v>327</v>
      </c>
      <c r="K107" s="7" t="s">
        <v>328</v>
      </c>
      <c r="L107" s="7" t="s">
        <v>111</v>
      </c>
      <c r="M107" s="8" t="str">
        <f t="shared" si="2"/>
        <v>U</v>
      </c>
      <c r="N107" s="8" t="str">
        <f t="shared" si="3"/>
        <v>Complete</v>
      </c>
    </row>
    <row r="108" spans="1:14" ht="40.5" customHeight="1">
      <c r="A108" s="6">
        <v>107</v>
      </c>
      <c r="B108" s="6" t="s">
        <v>315</v>
      </c>
      <c r="C108" s="6" t="s">
        <v>316</v>
      </c>
      <c r="D108" s="6" t="s">
        <v>107</v>
      </c>
      <c r="E108" s="6" t="s">
        <v>108</v>
      </c>
      <c r="F108" s="7" t="s">
        <v>103</v>
      </c>
      <c r="G108" s="7" t="s">
        <v>104</v>
      </c>
      <c r="H108" s="7"/>
      <c r="I108" s="7"/>
      <c r="J108" s="7" t="s">
        <v>329</v>
      </c>
      <c r="K108" s="7" t="s">
        <v>330</v>
      </c>
      <c r="L108" s="7" t="s">
        <v>81</v>
      </c>
      <c r="M108" s="8" t="str">
        <f t="shared" si="2"/>
        <v>NA</v>
      </c>
      <c r="N108" s="8" t="str">
        <f t="shared" si="3"/>
        <v>Complete</v>
      </c>
    </row>
    <row r="109" spans="1:14" ht="27" customHeight="1">
      <c r="A109" s="6">
        <v>108</v>
      </c>
      <c r="B109" s="6" t="s">
        <v>315</v>
      </c>
      <c r="C109" s="6" t="s">
        <v>316</v>
      </c>
      <c r="D109" s="6" t="s">
        <v>112</v>
      </c>
      <c r="E109" s="6" t="s">
        <v>113</v>
      </c>
      <c r="F109" s="7" t="s">
        <v>103</v>
      </c>
      <c r="G109" s="7" t="s">
        <v>104</v>
      </c>
      <c r="H109" s="7"/>
      <c r="I109" s="7"/>
      <c r="J109" s="7" t="s">
        <v>331</v>
      </c>
      <c r="K109" s="7" t="s">
        <v>332</v>
      </c>
      <c r="L109" s="7" t="s">
        <v>111</v>
      </c>
      <c r="M109" s="8" t="str">
        <f t="shared" si="2"/>
        <v>NA</v>
      </c>
      <c r="N109" s="8" t="str">
        <f t="shared" si="3"/>
        <v>Complete</v>
      </c>
    </row>
    <row r="110" spans="1:14" ht="27" customHeight="1">
      <c r="A110" s="6">
        <v>109</v>
      </c>
      <c r="B110" s="6" t="s">
        <v>315</v>
      </c>
      <c r="C110" s="6" t="s">
        <v>316</v>
      </c>
      <c r="D110" s="6" t="s">
        <v>117</v>
      </c>
      <c r="E110" s="6" t="s">
        <v>118</v>
      </c>
      <c r="F110" s="7" t="s">
        <v>103</v>
      </c>
      <c r="G110" s="7" t="s">
        <v>104</v>
      </c>
      <c r="H110" s="7"/>
      <c r="I110" s="7"/>
      <c r="J110" s="7" t="s">
        <v>333</v>
      </c>
      <c r="K110" s="7" t="s">
        <v>334</v>
      </c>
      <c r="L110" s="7" t="s">
        <v>111</v>
      </c>
      <c r="M110" s="8" t="str">
        <f t="shared" si="2"/>
        <v>NA</v>
      </c>
      <c r="N110" s="8" t="str">
        <f t="shared" si="3"/>
        <v>Complete</v>
      </c>
    </row>
    <row r="111" spans="1:14" ht="40.5" customHeight="1">
      <c r="A111" s="6">
        <v>110</v>
      </c>
      <c r="B111" s="6" t="s">
        <v>315</v>
      </c>
      <c r="C111" s="6" t="s">
        <v>316</v>
      </c>
      <c r="D111" s="6" t="s">
        <v>122</v>
      </c>
      <c r="E111" s="6" t="s">
        <v>123</v>
      </c>
      <c r="F111" s="7" t="s">
        <v>103</v>
      </c>
      <c r="G111" s="7" t="s">
        <v>104</v>
      </c>
      <c r="H111" s="7"/>
      <c r="I111" s="7"/>
      <c r="J111" s="7" t="s">
        <v>335</v>
      </c>
      <c r="K111" s="7" t="s">
        <v>336</v>
      </c>
      <c r="L111" s="7" t="s">
        <v>81</v>
      </c>
      <c r="M111" s="8" t="str">
        <f t="shared" si="2"/>
        <v>NA</v>
      </c>
      <c r="N111" s="8" t="str">
        <f t="shared" si="3"/>
        <v>Complete</v>
      </c>
    </row>
    <row r="112" spans="1:14" ht="27" customHeight="1">
      <c r="A112" s="6">
        <v>111</v>
      </c>
      <c r="B112" s="6" t="s">
        <v>337</v>
      </c>
      <c r="C112" s="6" t="s">
        <v>338</v>
      </c>
      <c r="D112" s="6" t="s">
        <v>75</v>
      </c>
      <c r="E112" s="6" t="s">
        <v>76</v>
      </c>
      <c r="F112" s="7" t="s">
        <v>77</v>
      </c>
      <c r="G112" s="7"/>
      <c r="H112" s="7" t="s">
        <v>78</v>
      </c>
      <c r="I112" s="7"/>
      <c r="J112" s="7" t="s">
        <v>339</v>
      </c>
      <c r="K112" s="7" t="s">
        <v>340</v>
      </c>
      <c r="L112" s="7" t="s">
        <v>81</v>
      </c>
      <c r="M112" s="8" t="str">
        <f t="shared" si="2"/>
        <v>D</v>
      </c>
      <c r="N112" s="8" t="str">
        <f t="shared" si="3"/>
        <v>Complete</v>
      </c>
    </row>
    <row r="113" spans="1:14" ht="27" customHeight="1">
      <c r="A113" s="6">
        <v>112</v>
      </c>
      <c r="B113" s="6" t="s">
        <v>337</v>
      </c>
      <c r="C113" s="6" t="s">
        <v>338</v>
      </c>
      <c r="D113" s="6" t="s">
        <v>82</v>
      </c>
      <c r="E113" s="6" t="s">
        <v>83</v>
      </c>
      <c r="F113" s="7" t="s">
        <v>77</v>
      </c>
      <c r="G113" s="7"/>
      <c r="H113" s="7" t="s">
        <v>78</v>
      </c>
      <c r="I113" s="7"/>
      <c r="J113" s="7" t="s">
        <v>341</v>
      </c>
      <c r="K113" s="7" t="s">
        <v>342</v>
      </c>
      <c r="L113" s="7" t="s">
        <v>81</v>
      </c>
      <c r="M113" s="8" t="str">
        <f t="shared" si="2"/>
        <v>D</v>
      </c>
      <c r="N113" s="8" t="str">
        <f t="shared" si="3"/>
        <v>Complete</v>
      </c>
    </row>
    <row r="114" spans="1:14" ht="40.5" customHeight="1">
      <c r="A114" s="6">
        <v>113</v>
      </c>
      <c r="B114" s="6" t="s">
        <v>337</v>
      </c>
      <c r="C114" s="6" t="s">
        <v>338</v>
      </c>
      <c r="D114" s="6" t="s">
        <v>86</v>
      </c>
      <c r="E114" s="6" t="s">
        <v>87</v>
      </c>
      <c r="F114" s="7" t="s">
        <v>77</v>
      </c>
      <c r="G114" s="7"/>
      <c r="H114" s="7" t="s">
        <v>78</v>
      </c>
      <c r="I114" s="7"/>
      <c r="J114" s="7" t="s">
        <v>343</v>
      </c>
      <c r="K114" s="7" t="s">
        <v>344</v>
      </c>
      <c r="L114" s="7" t="s">
        <v>81</v>
      </c>
      <c r="M114" s="8" t="str">
        <f t="shared" si="2"/>
        <v>D</v>
      </c>
      <c r="N114" s="8" t="str">
        <f t="shared" si="3"/>
        <v>Complete</v>
      </c>
    </row>
    <row r="115" spans="1:14" ht="40.5" customHeight="1">
      <c r="A115" s="6">
        <v>114</v>
      </c>
      <c r="B115" s="6" t="s">
        <v>337</v>
      </c>
      <c r="C115" s="6" t="s">
        <v>338</v>
      </c>
      <c r="D115" s="6" t="s">
        <v>92</v>
      </c>
      <c r="E115" s="6" t="s">
        <v>93</v>
      </c>
      <c r="F115" s="7" t="s">
        <v>103</v>
      </c>
      <c r="G115" s="7" t="s">
        <v>104</v>
      </c>
      <c r="H115" s="7"/>
      <c r="I115" s="7"/>
      <c r="J115" s="7" t="s">
        <v>345</v>
      </c>
      <c r="K115" s="7" t="s">
        <v>346</v>
      </c>
      <c r="L115" s="7" t="s">
        <v>81</v>
      </c>
      <c r="M115" s="8" t="str">
        <f t="shared" si="2"/>
        <v>NA</v>
      </c>
      <c r="N115" s="8" t="str">
        <f t="shared" si="3"/>
        <v>Complete</v>
      </c>
    </row>
    <row r="116" spans="1:14" ht="27" customHeight="1">
      <c r="A116" s="6">
        <v>115</v>
      </c>
      <c r="B116" s="6" t="s">
        <v>337</v>
      </c>
      <c r="C116" s="6" t="s">
        <v>338</v>
      </c>
      <c r="D116" s="6" t="s">
        <v>97</v>
      </c>
      <c r="E116" s="6" t="s">
        <v>98</v>
      </c>
      <c r="F116" s="7" t="s">
        <v>77</v>
      </c>
      <c r="G116" s="7"/>
      <c r="H116" s="7" t="s">
        <v>88</v>
      </c>
      <c r="I116" s="7" t="s">
        <v>119</v>
      </c>
      <c r="J116" s="7" t="s">
        <v>347</v>
      </c>
      <c r="K116" s="7" t="s">
        <v>348</v>
      </c>
      <c r="L116" s="7" t="s">
        <v>111</v>
      </c>
      <c r="M116" s="8" t="str">
        <f t="shared" si="2"/>
        <v>R</v>
      </c>
      <c r="N116" s="8" t="str">
        <f t="shared" si="3"/>
        <v>Complete</v>
      </c>
    </row>
    <row r="117" spans="1:14" ht="27" customHeight="1">
      <c r="A117" s="6">
        <v>116</v>
      </c>
      <c r="B117" s="6" t="s">
        <v>337</v>
      </c>
      <c r="C117" s="6" t="s">
        <v>338</v>
      </c>
      <c r="D117" s="6" t="s">
        <v>101</v>
      </c>
      <c r="E117" s="6" t="s">
        <v>102</v>
      </c>
      <c r="F117" s="7" t="s">
        <v>103</v>
      </c>
      <c r="G117" s="7" t="s">
        <v>104</v>
      </c>
      <c r="H117" s="7"/>
      <c r="I117" s="7"/>
      <c r="J117" s="7" t="s">
        <v>349</v>
      </c>
      <c r="K117" s="7" t="s">
        <v>350</v>
      </c>
      <c r="L117" s="7" t="s">
        <v>111</v>
      </c>
      <c r="M117" s="8" t="str">
        <f t="shared" si="2"/>
        <v>NA</v>
      </c>
      <c r="N117" s="8" t="str">
        <f t="shared" si="3"/>
        <v>Complete</v>
      </c>
    </row>
    <row r="118" spans="1:14" ht="27" customHeight="1">
      <c r="A118" s="6">
        <v>117</v>
      </c>
      <c r="B118" s="6" t="s">
        <v>337</v>
      </c>
      <c r="C118" s="6" t="s">
        <v>338</v>
      </c>
      <c r="D118" s="6" t="s">
        <v>107</v>
      </c>
      <c r="E118" s="6" t="s">
        <v>108</v>
      </c>
      <c r="F118" s="7" t="s">
        <v>103</v>
      </c>
      <c r="G118" s="7" t="s">
        <v>104</v>
      </c>
      <c r="H118" s="7"/>
      <c r="I118" s="7"/>
      <c r="J118" s="7" t="s">
        <v>351</v>
      </c>
      <c r="K118" s="7" t="s">
        <v>352</v>
      </c>
      <c r="L118" s="7" t="s">
        <v>111</v>
      </c>
      <c r="M118" s="8" t="str">
        <f t="shared" si="2"/>
        <v>NA</v>
      </c>
      <c r="N118" s="8" t="str">
        <f t="shared" si="3"/>
        <v>Complete</v>
      </c>
    </row>
    <row r="119" spans="1:14" ht="40.5" customHeight="1">
      <c r="A119" s="6">
        <v>118</v>
      </c>
      <c r="B119" s="6" t="s">
        <v>337</v>
      </c>
      <c r="C119" s="6" t="s">
        <v>338</v>
      </c>
      <c r="D119" s="6" t="s">
        <v>112</v>
      </c>
      <c r="E119" s="6" t="s">
        <v>113</v>
      </c>
      <c r="F119" s="7" t="s">
        <v>103</v>
      </c>
      <c r="G119" s="7" t="s">
        <v>114</v>
      </c>
      <c r="H119" s="7"/>
      <c r="I119" s="7"/>
      <c r="J119" s="7" t="s">
        <v>353</v>
      </c>
      <c r="K119" s="7" t="s">
        <v>184</v>
      </c>
      <c r="L119" s="7" t="s">
        <v>132</v>
      </c>
      <c r="M119" s="8" t="str">
        <f t="shared" si="2"/>
        <v>NA</v>
      </c>
      <c r="N119" s="8" t="str">
        <f t="shared" si="3"/>
        <v>Complete</v>
      </c>
    </row>
    <row r="120" spans="1:14" ht="27" customHeight="1">
      <c r="A120" s="6">
        <v>119</v>
      </c>
      <c r="B120" s="6" t="s">
        <v>337</v>
      </c>
      <c r="C120" s="6" t="s">
        <v>338</v>
      </c>
      <c r="D120" s="6" t="s">
        <v>117</v>
      </c>
      <c r="E120" s="6" t="s">
        <v>118</v>
      </c>
      <c r="F120" s="7" t="s">
        <v>77</v>
      </c>
      <c r="G120" s="7"/>
      <c r="H120" s="7" t="s">
        <v>88</v>
      </c>
      <c r="I120" s="7" t="s">
        <v>89</v>
      </c>
      <c r="J120" s="7" t="s">
        <v>354</v>
      </c>
      <c r="K120" s="7" t="s">
        <v>355</v>
      </c>
      <c r="L120" s="7" t="s">
        <v>81</v>
      </c>
      <c r="M120" s="8" t="str">
        <f t="shared" si="2"/>
        <v>R</v>
      </c>
      <c r="N120" s="8" t="str">
        <f t="shared" si="3"/>
        <v>Complete</v>
      </c>
    </row>
    <row r="121" spans="1:14" ht="40.5" customHeight="1">
      <c r="A121" s="6">
        <v>120</v>
      </c>
      <c r="B121" s="6" t="s">
        <v>337</v>
      </c>
      <c r="C121" s="6" t="s">
        <v>338</v>
      </c>
      <c r="D121" s="6" t="s">
        <v>122</v>
      </c>
      <c r="E121" s="6" t="s">
        <v>123</v>
      </c>
      <c r="F121" s="7" t="s">
        <v>103</v>
      </c>
      <c r="G121" s="7" t="s">
        <v>104</v>
      </c>
      <c r="H121" s="7"/>
      <c r="I121" s="7"/>
      <c r="J121" s="7" t="s">
        <v>353</v>
      </c>
      <c r="K121" s="7" t="s">
        <v>168</v>
      </c>
      <c r="L121" s="7" t="s">
        <v>81</v>
      </c>
      <c r="M121" s="8" t="str">
        <f t="shared" si="2"/>
        <v>NA</v>
      </c>
      <c r="N121" s="8" t="str">
        <f t="shared" si="3"/>
        <v>Complete</v>
      </c>
    </row>
    <row r="122" spans="1:14" ht="27" customHeight="1">
      <c r="A122" s="6">
        <v>121</v>
      </c>
      <c r="B122" s="6" t="s">
        <v>356</v>
      </c>
      <c r="C122" s="6" t="s">
        <v>357</v>
      </c>
      <c r="D122" s="6" t="s">
        <v>75</v>
      </c>
      <c r="E122" s="6" t="s">
        <v>76</v>
      </c>
      <c r="F122" s="7" t="s">
        <v>77</v>
      </c>
      <c r="G122" s="7"/>
      <c r="H122" s="7" t="s">
        <v>78</v>
      </c>
      <c r="I122" s="7"/>
      <c r="J122" s="7" t="s">
        <v>358</v>
      </c>
      <c r="K122" s="7" t="s">
        <v>359</v>
      </c>
      <c r="L122" s="7" t="s">
        <v>132</v>
      </c>
      <c r="M122" s="8" t="str">
        <f t="shared" si="2"/>
        <v>D</v>
      </c>
      <c r="N122" s="8" t="str">
        <f t="shared" si="3"/>
        <v>Complete</v>
      </c>
    </row>
    <row r="123" spans="1:14" ht="40.5" customHeight="1">
      <c r="A123" s="6">
        <v>122</v>
      </c>
      <c r="B123" s="6" t="s">
        <v>356</v>
      </c>
      <c r="C123" s="6" t="s">
        <v>357</v>
      </c>
      <c r="D123" s="6" t="s">
        <v>82</v>
      </c>
      <c r="E123" s="6" t="s">
        <v>83</v>
      </c>
      <c r="F123" s="7" t="s">
        <v>77</v>
      </c>
      <c r="G123" s="7"/>
      <c r="H123" s="7" t="s">
        <v>88</v>
      </c>
      <c r="I123" s="7" t="s">
        <v>89</v>
      </c>
      <c r="J123" s="7" t="s">
        <v>360</v>
      </c>
      <c r="K123" s="7" t="s">
        <v>361</v>
      </c>
      <c r="L123" s="7" t="s">
        <v>81</v>
      </c>
      <c r="M123" s="8" t="str">
        <f t="shared" si="2"/>
        <v>R</v>
      </c>
      <c r="N123" s="8" t="str">
        <f t="shared" si="3"/>
        <v>Complete</v>
      </c>
    </row>
    <row r="124" spans="1:14" ht="27" customHeight="1">
      <c r="A124" s="6">
        <v>123</v>
      </c>
      <c r="B124" s="6" t="s">
        <v>356</v>
      </c>
      <c r="C124" s="6" t="s">
        <v>357</v>
      </c>
      <c r="D124" s="6" t="s">
        <v>86</v>
      </c>
      <c r="E124" s="6" t="s">
        <v>87</v>
      </c>
      <c r="F124" s="7" t="s">
        <v>103</v>
      </c>
      <c r="G124" s="7" t="s">
        <v>104</v>
      </c>
      <c r="H124" s="7"/>
      <c r="I124" s="7"/>
      <c r="J124" s="7" t="s">
        <v>362</v>
      </c>
      <c r="K124" s="7" t="s">
        <v>363</v>
      </c>
      <c r="L124" s="7" t="s">
        <v>81</v>
      </c>
      <c r="M124" s="8" t="str">
        <f t="shared" si="2"/>
        <v>NA</v>
      </c>
      <c r="N124" s="8" t="str">
        <f t="shared" si="3"/>
        <v>Complete</v>
      </c>
    </row>
    <row r="125" spans="1:14" ht="27" customHeight="1">
      <c r="A125" s="6">
        <v>124</v>
      </c>
      <c r="B125" s="6" t="s">
        <v>356</v>
      </c>
      <c r="C125" s="6" t="s">
        <v>357</v>
      </c>
      <c r="D125" s="6" t="s">
        <v>92</v>
      </c>
      <c r="E125" s="6" t="s">
        <v>93</v>
      </c>
      <c r="F125" s="7" t="s">
        <v>77</v>
      </c>
      <c r="G125" s="7"/>
      <c r="H125" s="7" t="s">
        <v>94</v>
      </c>
      <c r="I125" s="7"/>
      <c r="J125" s="7" t="s">
        <v>360</v>
      </c>
      <c r="K125" s="7" t="s">
        <v>364</v>
      </c>
      <c r="L125" s="7" t="s">
        <v>81</v>
      </c>
      <c r="M125" s="8" t="str">
        <f t="shared" si="2"/>
        <v>U</v>
      </c>
      <c r="N125" s="8" t="str">
        <f t="shared" si="3"/>
        <v>Complete</v>
      </c>
    </row>
    <row r="126" spans="1:14" ht="27" customHeight="1">
      <c r="A126" s="6">
        <v>125</v>
      </c>
      <c r="B126" s="6" t="s">
        <v>356</v>
      </c>
      <c r="C126" s="6" t="s">
        <v>357</v>
      </c>
      <c r="D126" s="6" t="s">
        <v>97</v>
      </c>
      <c r="E126" s="6" t="s">
        <v>98</v>
      </c>
      <c r="F126" s="7" t="s">
        <v>77</v>
      </c>
      <c r="G126" s="7"/>
      <c r="H126" s="7" t="s">
        <v>94</v>
      </c>
      <c r="I126" s="7"/>
      <c r="J126" s="7" t="s">
        <v>365</v>
      </c>
      <c r="K126" s="7" t="s">
        <v>285</v>
      </c>
      <c r="L126" s="7" t="s">
        <v>81</v>
      </c>
      <c r="M126" s="8" t="str">
        <f t="shared" si="2"/>
        <v>U</v>
      </c>
      <c r="N126" s="8" t="str">
        <f t="shared" si="3"/>
        <v>Complete</v>
      </c>
    </row>
    <row r="127" spans="1:14" ht="40.5" customHeight="1">
      <c r="A127" s="6">
        <v>126</v>
      </c>
      <c r="B127" s="6" t="s">
        <v>356</v>
      </c>
      <c r="C127" s="6" t="s">
        <v>357</v>
      </c>
      <c r="D127" s="6" t="s">
        <v>101</v>
      </c>
      <c r="E127" s="6" t="s">
        <v>102</v>
      </c>
      <c r="F127" s="7" t="s">
        <v>103</v>
      </c>
      <c r="G127" s="7" t="s">
        <v>104</v>
      </c>
      <c r="H127" s="7"/>
      <c r="I127" s="7"/>
      <c r="J127" s="7" t="s">
        <v>366</v>
      </c>
      <c r="K127" s="7" t="s">
        <v>367</v>
      </c>
      <c r="L127" s="7" t="s">
        <v>81</v>
      </c>
      <c r="M127" s="8" t="str">
        <f t="shared" si="2"/>
        <v>NA</v>
      </c>
      <c r="N127" s="8" t="str">
        <f t="shared" si="3"/>
        <v>Complete</v>
      </c>
    </row>
    <row r="128" spans="1:14" ht="27" customHeight="1">
      <c r="A128" s="6">
        <v>127</v>
      </c>
      <c r="B128" s="6" t="s">
        <v>356</v>
      </c>
      <c r="C128" s="6" t="s">
        <v>357</v>
      </c>
      <c r="D128" s="6" t="s">
        <v>107</v>
      </c>
      <c r="E128" s="6" t="s">
        <v>108</v>
      </c>
      <c r="F128" s="7" t="s">
        <v>103</v>
      </c>
      <c r="G128" s="7" t="s">
        <v>104</v>
      </c>
      <c r="H128" s="7"/>
      <c r="I128" s="7"/>
      <c r="J128" s="7" t="s">
        <v>368</v>
      </c>
      <c r="K128" s="7" t="s">
        <v>369</v>
      </c>
      <c r="L128" s="7" t="s">
        <v>111</v>
      </c>
      <c r="M128" s="8" t="str">
        <f t="shared" si="2"/>
        <v>NA</v>
      </c>
      <c r="N128" s="8" t="str">
        <f t="shared" si="3"/>
        <v>Complete</v>
      </c>
    </row>
    <row r="129" spans="1:14" ht="40.5" customHeight="1">
      <c r="A129" s="6">
        <v>128</v>
      </c>
      <c r="B129" s="6" t="s">
        <v>356</v>
      </c>
      <c r="C129" s="6" t="s">
        <v>357</v>
      </c>
      <c r="D129" s="6" t="s">
        <v>112</v>
      </c>
      <c r="E129" s="6" t="s">
        <v>113</v>
      </c>
      <c r="F129" s="7" t="s">
        <v>103</v>
      </c>
      <c r="G129" s="7" t="s">
        <v>114</v>
      </c>
      <c r="H129" s="7"/>
      <c r="I129" s="7"/>
      <c r="J129" s="7" t="s">
        <v>366</v>
      </c>
      <c r="K129" s="7" t="s">
        <v>370</v>
      </c>
      <c r="L129" s="7" t="s">
        <v>132</v>
      </c>
      <c r="M129" s="8" t="str">
        <f t="shared" si="2"/>
        <v>NA</v>
      </c>
      <c r="N129" s="8" t="str">
        <f t="shared" si="3"/>
        <v>Complete</v>
      </c>
    </row>
    <row r="130" spans="1:14" ht="40.5" customHeight="1">
      <c r="A130" s="6">
        <v>129</v>
      </c>
      <c r="B130" s="6" t="s">
        <v>356</v>
      </c>
      <c r="C130" s="6" t="s">
        <v>357</v>
      </c>
      <c r="D130" s="6" t="s">
        <v>117</v>
      </c>
      <c r="E130" s="6" t="s">
        <v>118</v>
      </c>
      <c r="F130" s="7" t="s">
        <v>103</v>
      </c>
      <c r="G130" s="7" t="s">
        <v>104</v>
      </c>
      <c r="H130" s="7"/>
      <c r="I130" s="7"/>
      <c r="J130" s="7" t="s">
        <v>371</v>
      </c>
      <c r="K130" s="7" t="s">
        <v>372</v>
      </c>
      <c r="L130" s="7" t="s">
        <v>81</v>
      </c>
      <c r="M130" s="8" t="str">
        <f t="shared" ref="M130:M193" si="4">IF(F130="Not applicable","NA",IF(F130="Applicable",IF(H130="","",H130),""))</f>
        <v>NA</v>
      </c>
      <c r="N130" s="8" t="str">
        <f t="shared" ref="N130:N193" si="5">IF(F130="","Applicability missing",IF(AND(F130="Applicable",H130=""),"Record status missing",IF(AND(F130="Applicable",G130&lt;&gt;""),"Boundary strength must be blank for applicable rows",IF(AND(F130="Not applicable",G130=""),"Boundary strength missing",IF(AND(F130="Not applicable",H130&lt;&gt;""),"Record status must be blank for not-applicable rows",IF(AND(H130="R",I130=""),"Recovery stability missing",IF(J130="","Evidence location missing","Complete")))))))</f>
        <v>Complete</v>
      </c>
    </row>
    <row r="131" spans="1:14" ht="27" customHeight="1">
      <c r="A131" s="6">
        <v>130</v>
      </c>
      <c r="B131" s="6" t="s">
        <v>356</v>
      </c>
      <c r="C131" s="6" t="s">
        <v>357</v>
      </c>
      <c r="D131" s="6" t="s">
        <v>122</v>
      </c>
      <c r="E131" s="6" t="s">
        <v>123</v>
      </c>
      <c r="F131" s="7" t="s">
        <v>103</v>
      </c>
      <c r="G131" s="7" t="s">
        <v>104</v>
      </c>
      <c r="H131" s="7"/>
      <c r="I131" s="7"/>
      <c r="J131" s="7" t="s">
        <v>373</v>
      </c>
      <c r="K131" s="7" t="s">
        <v>374</v>
      </c>
      <c r="L131" s="7" t="s">
        <v>81</v>
      </c>
      <c r="M131" s="8" t="str">
        <f t="shared" si="4"/>
        <v>NA</v>
      </c>
      <c r="N131" s="8" t="str">
        <f t="shared" si="5"/>
        <v>Complete</v>
      </c>
    </row>
    <row r="132" spans="1:14" ht="27" customHeight="1">
      <c r="A132" s="6">
        <v>131</v>
      </c>
      <c r="B132" s="6" t="s">
        <v>375</v>
      </c>
      <c r="C132" s="6" t="s">
        <v>376</v>
      </c>
      <c r="D132" s="6" t="s">
        <v>75</v>
      </c>
      <c r="E132" s="6" t="s">
        <v>76</v>
      </c>
      <c r="F132" s="7" t="s">
        <v>77</v>
      </c>
      <c r="G132" s="7"/>
      <c r="H132" s="7" t="s">
        <v>78</v>
      </c>
      <c r="I132" s="7"/>
      <c r="J132" s="7" t="s">
        <v>377</v>
      </c>
      <c r="K132" s="7" t="s">
        <v>378</v>
      </c>
      <c r="L132" s="7" t="s">
        <v>132</v>
      </c>
      <c r="M132" s="8" t="str">
        <f t="shared" si="4"/>
        <v>D</v>
      </c>
      <c r="N132" s="8" t="str">
        <f t="shared" si="5"/>
        <v>Complete</v>
      </c>
    </row>
    <row r="133" spans="1:14" ht="27" customHeight="1">
      <c r="A133" s="6">
        <v>132</v>
      </c>
      <c r="B133" s="6" t="s">
        <v>375</v>
      </c>
      <c r="C133" s="6" t="s">
        <v>376</v>
      </c>
      <c r="D133" s="6" t="s">
        <v>82</v>
      </c>
      <c r="E133" s="6" t="s">
        <v>83</v>
      </c>
      <c r="F133" s="7" t="s">
        <v>77</v>
      </c>
      <c r="G133" s="7"/>
      <c r="H133" s="7" t="s">
        <v>78</v>
      </c>
      <c r="I133" s="7"/>
      <c r="J133" s="7" t="s">
        <v>379</v>
      </c>
      <c r="K133" s="7" t="s">
        <v>380</v>
      </c>
      <c r="L133" s="7" t="s">
        <v>81</v>
      </c>
      <c r="M133" s="8" t="str">
        <f t="shared" si="4"/>
        <v>D</v>
      </c>
      <c r="N133" s="8" t="str">
        <f t="shared" si="5"/>
        <v>Complete</v>
      </c>
    </row>
    <row r="134" spans="1:14" ht="40.5" customHeight="1">
      <c r="A134" s="6">
        <v>133</v>
      </c>
      <c r="B134" s="6" t="s">
        <v>375</v>
      </c>
      <c r="C134" s="6" t="s">
        <v>376</v>
      </c>
      <c r="D134" s="6" t="s">
        <v>86</v>
      </c>
      <c r="E134" s="6" t="s">
        <v>87</v>
      </c>
      <c r="F134" s="7" t="s">
        <v>103</v>
      </c>
      <c r="G134" s="7" t="s">
        <v>104</v>
      </c>
      <c r="H134" s="7"/>
      <c r="I134" s="7"/>
      <c r="J134" s="7" t="s">
        <v>381</v>
      </c>
      <c r="K134" s="7" t="s">
        <v>382</v>
      </c>
      <c r="L134" s="7" t="s">
        <v>81</v>
      </c>
      <c r="M134" s="8" t="str">
        <f t="shared" si="4"/>
        <v>NA</v>
      </c>
      <c r="N134" s="8" t="str">
        <f t="shared" si="5"/>
        <v>Complete</v>
      </c>
    </row>
    <row r="135" spans="1:14" ht="27" customHeight="1">
      <c r="A135" s="6">
        <v>134</v>
      </c>
      <c r="B135" s="6" t="s">
        <v>375</v>
      </c>
      <c r="C135" s="6" t="s">
        <v>376</v>
      </c>
      <c r="D135" s="6" t="s">
        <v>92</v>
      </c>
      <c r="E135" s="6" t="s">
        <v>93</v>
      </c>
      <c r="F135" s="7" t="s">
        <v>77</v>
      </c>
      <c r="G135" s="7"/>
      <c r="H135" s="7" t="s">
        <v>78</v>
      </c>
      <c r="I135" s="7"/>
      <c r="J135" s="7" t="s">
        <v>383</v>
      </c>
      <c r="K135" s="7" t="s">
        <v>384</v>
      </c>
      <c r="L135" s="7" t="s">
        <v>132</v>
      </c>
      <c r="M135" s="8" t="str">
        <f t="shared" si="4"/>
        <v>D</v>
      </c>
      <c r="N135" s="8" t="str">
        <f t="shared" si="5"/>
        <v>Complete</v>
      </c>
    </row>
    <row r="136" spans="1:14" ht="27" customHeight="1">
      <c r="A136" s="6">
        <v>135</v>
      </c>
      <c r="B136" s="6" t="s">
        <v>375</v>
      </c>
      <c r="C136" s="6" t="s">
        <v>376</v>
      </c>
      <c r="D136" s="6" t="s">
        <v>97</v>
      </c>
      <c r="E136" s="6" t="s">
        <v>98</v>
      </c>
      <c r="F136" s="7" t="s">
        <v>77</v>
      </c>
      <c r="G136" s="7"/>
      <c r="H136" s="7" t="s">
        <v>78</v>
      </c>
      <c r="I136" s="7"/>
      <c r="J136" s="7" t="s">
        <v>385</v>
      </c>
      <c r="K136" s="7" t="s">
        <v>386</v>
      </c>
      <c r="L136" s="7" t="s">
        <v>132</v>
      </c>
      <c r="M136" s="8" t="str">
        <f t="shared" si="4"/>
        <v>D</v>
      </c>
      <c r="N136" s="8" t="str">
        <f t="shared" si="5"/>
        <v>Complete</v>
      </c>
    </row>
    <row r="137" spans="1:14" ht="40.5" customHeight="1">
      <c r="A137" s="6">
        <v>136</v>
      </c>
      <c r="B137" s="6" t="s">
        <v>375</v>
      </c>
      <c r="C137" s="6" t="s">
        <v>376</v>
      </c>
      <c r="D137" s="6" t="s">
        <v>101</v>
      </c>
      <c r="E137" s="6" t="s">
        <v>102</v>
      </c>
      <c r="F137" s="7" t="s">
        <v>103</v>
      </c>
      <c r="G137" s="7" t="s">
        <v>114</v>
      </c>
      <c r="H137" s="7"/>
      <c r="I137" s="7"/>
      <c r="J137" s="7" t="s">
        <v>381</v>
      </c>
      <c r="K137" s="7" t="s">
        <v>387</v>
      </c>
      <c r="L137" s="7" t="s">
        <v>81</v>
      </c>
      <c r="M137" s="8" t="str">
        <f t="shared" si="4"/>
        <v>NA</v>
      </c>
      <c r="N137" s="8" t="str">
        <f t="shared" si="5"/>
        <v>Complete</v>
      </c>
    </row>
    <row r="138" spans="1:14" ht="40.5" customHeight="1">
      <c r="A138" s="6">
        <v>137</v>
      </c>
      <c r="B138" s="6" t="s">
        <v>375</v>
      </c>
      <c r="C138" s="6" t="s">
        <v>376</v>
      </c>
      <c r="D138" s="6" t="s">
        <v>107</v>
      </c>
      <c r="E138" s="6" t="s">
        <v>108</v>
      </c>
      <c r="F138" s="7" t="s">
        <v>103</v>
      </c>
      <c r="G138" s="7" t="s">
        <v>104</v>
      </c>
      <c r="H138" s="7"/>
      <c r="I138" s="7"/>
      <c r="J138" s="7" t="s">
        <v>388</v>
      </c>
      <c r="K138" s="7" t="s">
        <v>389</v>
      </c>
      <c r="L138" s="7" t="s">
        <v>81</v>
      </c>
      <c r="M138" s="8" t="str">
        <f t="shared" si="4"/>
        <v>NA</v>
      </c>
      <c r="N138" s="8" t="str">
        <f t="shared" si="5"/>
        <v>Complete</v>
      </c>
    </row>
    <row r="139" spans="1:14" ht="40.5" customHeight="1">
      <c r="A139" s="6">
        <v>138</v>
      </c>
      <c r="B139" s="6" t="s">
        <v>375</v>
      </c>
      <c r="C139" s="6" t="s">
        <v>376</v>
      </c>
      <c r="D139" s="6" t="s">
        <v>112</v>
      </c>
      <c r="E139" s="6" t="s">
        <v>113</v>
      </c>
      <c r="F139" s="7" t="s">
        <v>103</v>
      </c>
      <c r="G139" s="7" t="s">
        <v>114</v>
      </c>
      <c r="H139" s="7"/>
      <c r="I139" s="7"/>
      <c r="J139" s="7" t="s">
        <v>390</v>
      </c>
      <c r="K139" s="7" t="s">
        <v>184</v>
      </c>
      <c r="L139" s="7" t="s">
        <v>132</v>
      </c>
      <c r="M139" s="8" t="str">
        <f t="shared" si="4"/>
        <v>NA</v>
      </c>
      <c r="N139" s="8" t="str">
        <f t="shared" si="5"/>
        <v>Complete</v>
      </c>
    </row>
    <row r="140" spans="1:14" ht="40.5" customHeight="1">
      <c r="A140" s="6">
        <v>139</v>
      </c>
      <c r="B140" s="6" t="s">
        <v>375</v>
      </c>
      <c r="C140" s="6" t="s">
        <v>376</v>
      </c>
      <c r="D140" s="6" t="s">
        <v>117</v>
      </c>
      <c r="E140" s="6" t="s">
        <v>118</v>
      </c>
      <c r="F140" s="7" t="s">
        <v>103</v>
      </c>
      <c r="G140" s="7" t="s">
        <v>114</v>
      </c>
      <c r="H140" s="7"/>
      <c r="I140" s="7"/>
      <c r="J140" s="7" t="s">
        <v>391</v>
      </c>
      <c r="K140" s="7" t="s">
        <v>392</v>
      </c>
      <c r="L140" s="7" t="s">
        <v>81</v>
      </c>
      <c r="M140" s="8" t="str">
        <f t="shared" si="4"/>
        <v>NA</v>
      </c>
      <c r="N140" s="8" t="str">
        <f t="shared" si="5"/>
        <v>Complete</v>
      </c>
    </row>
    <row r="141" spans="1:14" ht="40.5" customHeight="1">
      <c r="A141" s="6">
        <v>140</v>
      </c>
      <c r="B141" s="6" t="s">
        <v>375</v>
      </c>
      <c r="C141" s="6" t="s">
        <v>376</v>
      </c>
      <c r="D141" s="6" t="s">
        <v>122</v>
      </c>
      <c r="E141" s="6" t="s">
        <v>123</v>
      </c>
      <c r="F141" s="7" t="s">
        <v>103</v>
      </c>
      <c r="G141" s="7" t="s">
        <v>114</v>
      </c>
      <c r="H141" s="7"/>
      <c r="I141" s="7"/>
      <c r="J141" s="7" t="s">
        <v>391</v>
      </c>
      <c r="K141" s="7" t="s">
        <v>393</v>
      </c>
      <c r="L141" s="7" t="s">
        <v>81</v>
      </c>
      <c r="M141" s="8" t="str">
        <f t="shared" si="4"/>
        <v>NA</v>
      </c>
      <c r="N141" s="8" t="str">
        <f t="shared" si="5"/>
        <v>Complete</v>
      </c>
    </row>
    <row r="142" spans="1:14" ht="27" customHeight="1">
      <c r="A142" s="6">
        <v>141</v>
      </c>
      <c r="B142" s="6" t="s">
        <v>394</v>
      </c>
      <c r="C142" s="6" t="s">
        <v>395</v>
      </c>
      <c r="D142" s="6" t="s">
        <v>75</v>
      </c>
      <c r="E142" s="6" t="s">
        <v>76</v>
      </c>
      <c r="F142" s="7" t="s">
        <v>77</v>
      </c>
      <c r="G142" s="7"/>
      <c r="H142" s="7" t="s">
        <v>78</v>
      </c>
      <c r="I142" s="7"/>
      <c r="J142" s="7" t="s">
        <v>396</v>
      </c>
      <c r="K142" s="7" t="s">
        <v>397</v>
      </c>
      <c r="L142" s="7" t="s">
        <v>132</v>
      </c>
      <c r="M142" s="8" t="str">
        <f t="shared" si="4"/>
        <v>D</v>
      </c>
      <c r="N142" s="8" t="str">
        <f t="shared" si="5"/>
        <v>Complete</v>
      </c>
    </row>
    <row r="143" spans="1:14" ht="27" customHeight="1">
      <c r="A143" s="6">
        <v>142</v>
      </c>
      <c r="B143" s="6" t="s">
        <v>394</v>
      </c>
      <c r="C143" s="6" t="s">
        <v>395</v>
      </c>
      <c r="D143" s="6" t="s">
        <v>82</v>
      </c>
      <c r="E143" s="6" t="s">
        <v>83</v>
      </c>
      <c r="F143" s="7" t="s">
        <v>77</v>
      </c>
      <c r="G143" s="7"/>
      <c r="H143" s="7" t="s">
        <v>88</v>
      </c>
      <c r="I143" s="7" t="s">
        <v>89</v>
      </c>
      <c r="J143" s="7" t="s">
        <v>398</v>
      </c>
      <c r="K143" s="7" t="s">
        <v>399</v>
      </c>
      <c r="L143" s="7" t="s">
        <v>81</v>
      </c>
      <c r="M143" s="8" t="str">
        <f t="shared" si="4"/>
        <v>R</v>
      </c>
      <c r="N143" s="8" t="str">
        <f t="shared" si="5"/>
        <v>Complete</v>
      </c>
    </row>
    <row r="144" spans="1:14" ht="27" customHeight="1">
      <c r="A144" s="6">
        <v>143</v>
      </c>
      <c r="B144" s="6" t="s">
        <v>394</v>
      </c>
      <c r="C144" s="6" t="s">
        <v>395</v>
      </c>
      <c r="D144" s="6" t="s">
        <v>86</v>
      </c>
      <c r="E144" s="6" t="s">
        <v>87</v>
      </c>
      <c r="F144" s="7" t="s">
        <v>77</v>
      </c>
      <c r="G144" s="7"/>
      <c r="H144" s="7" t="s">
        <v>88</v>
      </c>
      <c r="I144" s="7" t="s">
        <v>119</v>
      </c>
      <c r="J144" s="7" t="s">
        <v>400</v>
      </c>
      <c r="K144" s="7" t="s">
        <v>401</v>
      </c>
      <c r="L144" s="7" t="s">
        <v>81</v>
      </c>
      <c r="M144" s="8" t="str">
        <f t="shared" si="4"/>
        <v>R</v>
      </c>
      <c r="N144" s="8" t="str">
        <f t="shared" si="5"/>
        <v>Complete</v>
      </c>
    </row>
    <row r="145" spans="1:14" ht="27" customHeight="1">
      <c r="A145" s="6">
        <v>144</v>
      </c>
      <c r="B145" s="6" t="s">
        <v>394</v>
      </c>
      <c r="C145" s="6" t="s">
        <v>395</v>
      </c>
      <c r="D145" s="6" t="s">
        <v>92</v>
      </c>
      <c r="E145" s="6" t="s">
        <v>93</v>
      </c>
      <c r="F145" s="7" t="s">
        <v>77</v>
      </c>
      <c r="G145" s="7"/>
      <c r="H145" s="7" t="s">
        <v>88</v>
      </c>
      <c r="I145" s="7" t="s">
        <v>119</v>
      </c>
      <c r="J145" s="7" t="s">
        <v>402</v>
      </c>
      <c r="K145" s="7" t="s">
        <v>403</v>
      </c>
      <c r="L145" s="7" t="s">
        <v>81</v>
      </c>
      <c r="M145" s="8" t="str">
        <f t="shared" si="4"/>
        <v>R</v>
      </c>
      <c r="N145" s="8" t="str">
        <f t="shared" si="5"/>
        <v>Complete</v>
      </c>
    </row>
    <row r="146" spans="1:14" ht="27" customHeight="1">
      <c r="A146" s="6">
        <v>145</v>
      </c>
      <c r="B146" s="6" t="s">
        <v>394</v>
      </c>
      <c r="C146" s="6" t="s">
        <v>395</v>
      </c>
      <c r="D146" s="6" t="s">
        <v>97</v>
      </c>
      <c r="E146" s="6" t="s">
        <v>98</v>
      </c>
      <c r="F146" s="7" t="s">
        <v>77</v>
      </c>
      <c r="G146" s="7"/>
      <c r="H146" s="7" t="s">
        <v>88</v>
      </c>
      <c r="I146" s="7" t="s">
        <v>119</v>
      </c>
      <c r="J146" s="7" t="s">
        <v>404</v>
      </c>
      <c r="K146" s="7" t="s">
        <v>405</v>
      </c>
      <c r="L146" s="7" t="s">
        <v>111</v>
      </c>
      <c r="M146" s="8" t="str">
        <f t="shared" si="4"/>
        <v>R</v>
      </c>
      <c r="N146" s="8" t="str">
        <f t="shared" si="5"/>
        <v>Complete</v>
      </c>
    </row>
    <row r="147" spans="1:14" ht="40.5" customHeight="1">
      <c r="A147" s="6">
        <v>146</v>
      </c>
      <c r="B147" s="6" t="s">
        <v>394</v>
      </c>
      <c r="C147" s="6" t="s">
        <v>395</v>
      </c>
      <c r="D147" s="6" t="s">
        <v>101</v>
      </c>
      <c r="E147" s="6" t="s">
        <v>102</v>
      </c>
      <c r="F147" s="7" t="s">
        <v>103</v>
      </c>
      <c r="G147" s="7" t="s">
        <v>104</v>
      </c>
      <c r="H147" s="7"/>
      <c r="I147" s="7"/>
      <c r="J147" s="7" t="s">
        <v>406</v>
      </c>
      <c r="K147" s="7" t="s">
        <v>407</v>
      </c>
      <c r="L147" s="7" t="s">
        <v>81</v>
      </c>
      <c r="M147" s="8" t="str">
        <f t="shared" si="4"/>
        <v>NA</v>
      </c>
      <c r="N147" s="8" t="str">
        <f t="shared" si="5"/>
        <v>Complete</v>
      </c>
    </row>
    <row r="148" spans="1:14" ht="40.5" customHeight="1">
      <c r="A148" s="6">
        <v>147</v>
      </c>
      <c r="B148" s="6" t="s">
        <v>394</v>
      </c>
      <c r="C148" s="6" t="s">
        <v>395</v>
      </c>
      <c r="D148" s="6" t="s">
        <v>107</v>
      </c>
      <c r="E148" s="6" t="s">
        <v>108</v>
      </c>
      <c r="F148" s="7" t="s">
        <v>103</v>
      </c>
      <c r="G148" s="7" t="s">
        <v>104</v>
      </c>
      <c r="H148" s="7"/>
      <c r="I148" s="7"/>
      <c r="J148" s="7" t="s">
        <v>408</v>
      </c>
      <c r="K148" s="7" t="s">
        <v>409</v>
      </c>
      <c r="L148" s="7" t="s">
        <v>111</v>
      </c>
      <c r="M148" s="8" t="str">
        <f t="shared" si="4"/>
        <v>NA</v>
      </c>
      <c r="N148" s="8" t="str">
        <f t="shared" si="5"/>
        <v>Complete</v>
      </c>
    </row>
    <row r="149" spans="1:14" ht="40.5" customHeight="1">
      <c r="A149" s="6">
        <v>148</v>
      </c>
      <c r="B149" s="6" t="s">
        <v>394</v>
      </c>
      <c r="C149" s="6" t="s">
        <v>395</v>
      </c>
      <c r="D149" s="6" t="s">
        <v>112</v>
      </c>
      <c r="E149" s="6" t="s">
        <v>113</v>
      </c>
      <c r="F149" s="7" t="s">
        <v>77</v>
      </c>
      <c r="G149" s="7"/>
      <c r="H149" s="7" t="s">
        <v>78</v>
      </c>
      <c r="I149" s="7"/>
      <c r="J149" s="7" t="s">
        <v>410</v>
      </c>
      <c r="K149" s="7" t="s">
        <v>411</v>
      </c>
      <c r="L149" s="7" t="s">
        <v>111</v>
      </c>
      <c r="M149" s="8" t="str">
        <f t="shared" si="4"/>
        <v>D</v>
      </c>
      <c r="N149" s="8" t="str">
        <f t="shared" si="5"/>
        <v>Complete</v>
      </c>
    </row>
    <row r="150" spans="1:14" ht="27" customHeight="1">
      <c r="A150" s="6">
        <v>149</v>
      </c>
      <c r="B150" s="6" t="s">
        <v>394</v>
      </c>
      <c r="C150" s="6" t="s">
        <v>395</v>
      </c>
      <c r="D150" s="6" t="s">
        <v>117</v>
      </c>
      <c r="E150" s="6" t="s">
        <v>118</v>
      </c>
      <c r="F150" s="7" t="s">
        <v>77</v>
      </c>
      <c r="G150" s="7"/>
      <c r="H150" s="7" t="s">
        <v>88</v>
      </c>
      <c r="I150" s="7" t="s">
        <v>119</v>
      </c>
      <c r="J150" s="7" t="s">
        <v>412</v>
      </c>
      <c r="K150" s="7" t="s">
        <v>413</v>
      </c>
      <c r="L150" s="7" t="s">
        <v>81</v>
      </c>
      <c r="M150" s="8" t="str">
        <f t="shared" si="4"/>
        <v>R</v>
      </c>
      <c r="N150" s="8" t="str">
        <f t="shared" si="5"/>
        <v>Complete</v>
      </c>
    </row>
    <row r="151" spans="1:14" ht="40.5" customHeight="1">
      <c r="A151" s="6">
        <v>150</v>
      </c>
      <c r="B151" s="6" t="s">
        <v>394</v>
      </c>
      <c r="C151" s="6" t="s">
        <v>395</v>
      </c>
      <c r="D151" s="6" t="s">
        <v>122</v>
      </c>
      <c r="E151" s="6" t="s">
        <v>123</v>
      </c>
      <c r="F151" s="7" t="s">
        <v>103</v>
      </c>
      <c r="G151" s="7" t="s">
        <v>104</v>
      </c>
      <c r="H151" s="7"/>
      <c r="I151" s="7"/>
      <c r="J151" s="7" t="s">
        <v>414</v>
      </c>
      <c r="K151" s="7" t="s">
        <v>415</v>
      </c>
      <c r="L151" s="7" t="s">
        <v>81</v>
      </c>
      <c r="M151" s="8" t="str">
        <f t="shared" si="4"/>
        <v>NA</v>
      </c>
      <c r="N151" s="8" t="str">
        <f t="shared" si="5"/>
        <v>Complete</v>
      </c>
    </row>
    <row r="152" spans="1:14" ht="27" customHeight="1">
      <c r="A152" s="6">
        <v>151</v>
      </c>
      <c r="B152" s="6" t="s">
        <v>416</v>
      </c>
      <c r="C152" s="6" t="s">
        <v>417</v>
      </c>
      <c r="D152" s="6" t="s">
        <v>75</v>
      </c>
      <c r="E152" s="6" t="s">
        <v>76</v>
      </c>
      <c r="F152" s="7" t="s">
        <v>77</v>
      </c>
      <c r="G152" s="7"/>
      <c r="H152" s="7" t="s">
        <v>78</v>
      </c>
      <c r="I152" s="7"/>
      <c r="J152" s="7" t="s">
        <v>418</v>
      </c>
      <c r="K152" s="7" t="s">
        <v>419</v>
      </c>
      <c r="L152" s="7" t="s">
        <v>132</v>
      </c>
      <c r="M152" s="8" t="str">
        <f t="shared" si="4"/>
        <v>D</v>
      </c>
      <c r="N152" s="8" t="str">
        <f t="shared" si="5"/>
        <v>Complete</v>
      </c>
    </row>
    <row r="153" spans="1:14" ht="27" customHeight="1">
      <c r="A153" s="6">
        <v>152</v>
      </c>
      <c r="B153" s="6" t="s">
        <v>416</v>
      </c>
      <c r="C153" s="6" t="s">
        <v>417</v>
      </c>
      <c r="D153" s="6" t="s">
        <v>82</v>
      </c>
      <c r="E153" s="6" t="s">
        <v>83</v>
      </c>
      <c r="F153" s="7" t="s">
        <v>77</v>
      </c>
      <c r="G153" s="7"/>
      <c r="H153" s="7" t="s">
        <v>88</v>
      </c>
      <c r="I153" s="7" t="s">
        <v>89</v>
      </c>
      <c r="J153" s="7" t="s">
        <v>420</v>
      </c>
      <c r="K153" s="7" t="s">
        <v>421</v>
      </c>
      <c r="L153" s="7" t="s">
        <v>81</v>
      </c>
      <c r="M153" s="8" t="str">
        <f t="shared" si="4"/>
        <v>R</v>
      </c>
      <c r="N153" s="8" t="str">
        <f t="shared" si="5"/>
        <v>Complete</v>
      </c>
    </row>
    <row r="154" spans="1:14" ht="27" customHeight="1">
      <c r="A154" s="6">
        <v>153</v>
      </c>
      <c r="B154" s="6" t="s">
        <v>416</v>
      </c>
      <c r="C154" s="6" t="s">
        <v>417</v>
      </c>
      <c r="D154" s="6" t="s">
        <v>86</v>
      </c>
      <c r="E154" s="6" t="s">
        <v>87</v>
      </c>
      <c r="F154" s="7" t="s">
        <v>77</v>
      </c>
      <c r="G154" s="7"/>
      <c r="H154" s="7" t="s">
        <v>88</v>
      </c>
      <c r="I154" s="7" t="s">
        <v>119</v>
      </c>
      <c r="J154" s="7" t="s">
        <v>422</v>
      </c>
      <c r="K154" s="7" t="s">
        <v>423</v>
      </c>
      <c r="L154" s="7" t="s">
        <v>81</v>
      </c>
      <c r="M154" s="8" t="str">
        <f t="shared" si="4"/>
        <v>R</v>
      </c>
      <c r="N154" s="8" t="str">
        <f t="shared" si="5"/>
        <v>Complete</v>
      </c>
    </row>
    <row r="155" spans="1:14" ht="27" customHeight="1">
      <c r="A155" s="6">
        <v>154</v>
      </c>
      <c r="B155" s="6" t="s">
        <v>416</v>
      </c>
      <c r="C155" s="6" t="s">
        <v>417</v>
      </c>
      <c r="D155" s="6" t="s">
        <v>92</v>
      </c>
      <c r="E155" s="6" t="s">
        <v>93</v>
      </c>
      <c r="F155" s="7" t="s">
        <v>77</v>
      </c>
      <c r="G155" s="7"/>
      <c r="H155" s="7" t="s">
        <v>94</v>
      </c>
      <c r="I155" s="7"/>
      <c r="J155" s="7" t="s">
        <v>424</v>
      </c>
      <c r="K155" s="7" t="s">
        <v>425</v>
      </c>
      <c r="L155" s="7" t="s">
        <v>81</v>
      </c>
      <c r="M155" s="8" t="str">
        <f t="shared" si="4"/>
        <v>U</v>
      </c>
      <c r="N155" s="8" t="str">
        <f t="shared" si="5"/>
        <v>Complete</v>
      </c>
    </row>
    <row r="156" spans="1:14" ht="27" customHeight="1">
      <c r="A156" s="6">
        <v>155</v>
      </c>
      <c r="B156" s="6" t="s">
        <v>416</v>
      </c>
      <c r="C156" s="6" t="s">
        <v>417</v>
      </c>
      <c r="D156" s="6" t="s">
        <v>97</v>
      </c>
      <c r="E156" s="6" t="s">
        <v>98</v>
      </c>
      <c r="F156" s="7" t="s">
        <v>77</v>
      </c>
      <c r="G156" s="7"/>
      <c r="H156" s="7" t="s">
        <v>94</v>
      </c>
      <c r="I156" s="7"/>
      <c r="J156" s="7" t="s">
        <v>426</v>
      </c>
      <c r="K156" s="7" t="s">
        <v>427</v>
      </c>
      <c r="L156" s="7" t="s">
        <v>81</v>
      </c>
      <c r="M156" s="8" t="str">
        <f t="shared" si="4"/>
        <v>U</v>
      </c>
      <c r="N156" s="8" t="str">
        <f t="shared" si="5"/>
        <v>Complete</v>
      </c>
    </row>
    <row r="157" spans="1:14" ht="27" customHeight="1">
      <c r="A157" s="6">
        <v>156</v>
      </c>
      <c r="B157" s="6" t="s">
        <v>416</v>
      </c>
      <c r="C157" s="6" t="s">
        <v>417</v>
      </c>
      <c r="D157" s="6" t="s">
        <v>101</v>
      </c>
      <c r="E157" s="6" t="s">
        <v>102</v>
      </c>
      <c r="F157" s="7" t="s">
        <v>103</v>
      </c>
      <c r="G157" s="7" t="s">
        <v>104</v>
      </c>
      <c r="H157" s="7"/>
      <c r="I157" s="7"/>
      <c r="J157" s="7" t="s">
        <v>428</v>
      </c>
      <c r="K157" s="7" t="s">
        <v>429</v>
      </c>
      <c r="L157" s="7" t="s">
        <v>111</v>
      </c>
      <c r="M157" s="8" t="str">
        <f t="shared" si="4"/>
        <v>NA</v>
      </c>
      <c r="N157" s="8" t="str">
        <f t="shared" si="5"/>
        <v>Complete</v>
      </c>
    </row>
    <row r="158" spans="1:14" ht="40.5" customHeight="1">
      <c r="A158" s="6">
        <v>157</v>
      </c>
      <c r="B158" s="6" t="s">
        <v>416</v>
      </c>
      <c r="C158" s="6" t="s">
        <v>417</v>
      </c>
      <c r="D158" s="6" t="s">
        <v>107</v>
      </c>
      <c r="E158" s="6" t="s">
        <v>108</v>
      </c>
      <c r="F158" s="7" t="s">
        <v>103</v>
      </c>
      <c r="G158" s="7" t="s">
        <v>104</v>
      </c>
      <c r="H158" s="7"/>
      <c r="I158" s="7"/>
      <c r="J158" s="7" t="s">
        <v>428</v>
      </c>
      <c r="K158" s="7" t="s">
        <v>430</v>
      </c>
      <c r="L158" s="7" t="s">
        <v>81</v>
      </c>
      <c r="M158" s="8" t="str">
        <f t="shared" si="4"/>
        <v>NA</v>
      </c>
      <c r="N158" s="8" t="str">
        <f t="shared" si="5"/>
        <v>Complete</v>
      </c>
    </row>
    <row r="159" spans="1:14" ht="40.5" customHeight="1">
      <c r="A159" s="6">
        <v>158</v>
      </c>
      <c r="B159" s="6" t="s">
        <v>416</v>
      </c>
      <c r="C159" s="6" t="s">
        <v>417</v>
      </c>
      <c r="D159" s="6" t="s">
        <v>112</v>
      </c>
      <c r="E159" s="6" t="s">
        <v>113</v>
      </c>
      <c r="F159" s="7" t="s">
        <v>77</v>
      </c>
      <c r="G159" s="7"/>
      <c r="H159" s="7" t="s">
        <v>88</v>
      </c>
      <c r="I159" s="7" t="s">
        <v>119</v>
      </c>
      <c r="J159" s="7" t="s">
        <v>431</v>
      </c>
      <c r="K159" s="7" t="s">
        <v>432</v>
      </c>
      <c r="L159" s="7" t="s">
        <v>111</v>
      </c>
      <c r="M159" s="8" t="str">
        <f t="shared" si="4"/>
        <v>R</v>
      </c>
      <c r="N159" s="8" t="str">
        <f t="shared" si="5"/>
        <v>Complete</v>
      </c>
    </row>
    <row r="160" spans="1:14" ht="40.5" customHeight="1">
      <c r="A160" s="6">
        <v>159</v>
      </c>
      <c r="B160" s="6" t="s">
        <v>416</v>
      </c>
      <c r="C160" s="6" t="s">
        <v>417</v>
      </c>
      <c r="D160" s="6" t="s">
        <v>117</v>
      </c>
      <c r="E160" s="6" t="s">
        <v>118</v>
      </c>
      <c r="F160" s="7" t="s">
        <v>103</v>
      </c>
      <c r="G160" s="7" t="s">
        <v>104</v>
      </c>
      <c r="H160" s="7"/>
      <c r="I160" s="7"/>
      <c r="J160" s="7" t="s">
        <v>433</v>
      </c>
      <c r="K160" s="7" t="s">
        <v>434</v>
      </c>
      <c r="L160" s="7" t="s">
        <v>111</v>
      </c>
      <c r="M160" s="8" t="str">
        <f t="shared" si="4"/>
        <v>NA</v>
      </c>
      <c r="N160" s="8" t="str">
        <f t="shared" si="5"/>
        <v>Complete</v>
      </c>
    </row>
    <row r="161" spans="1:14" ht="40.5" customHeight="1">
      <c r="A161" s="6">
        <v>160</v>
      </c>
      <c r="B161" s="6" t="s">
        <v>416</v>
      </c>
      <c r="C161" s="6" t="s">
        <v>417</v>
      </c>
      <c r="D161" s="6" t="s">
        <v>122</v>
      </c>
      <c r="E161" s="6" t="s">
        <v>123</v>
      </c>
      <c r="F161" s="7" t="s">
        <v>103</v>
      </c>
      <c r="G161" s="7" t="s">
        <v>104</v>
      </c>
      <c r="H161" s="7"/>
      <c r="I161" s="7"/>
      <c r="J161" s="7" t="s">
        <v>435</v>
      </c>
      <c r="K161" s="7" t="s">
        <v>168</v>
      </c>
      <c r="L161" s="7" t="s">
        <v>81</v>
      </c>
      <c r="M161" s="8" t="str">
        <f t="shared" si="4"/>
        <v>NA</v>
      </c>
      <c r="N161" s="8" t="str">
        <f t="shared" si="5"/>
        <v>Complete</v>
      </c>
    </row>
    <row r="162" spans="1:14" ht="27" customHeight="1">
      <c r="A162" s="6">
        <v>161</v>
      </c>
      <c r="B162" s="6" t="s">
        <v>436</v>
      </c>
      <c r="C162" s="6" t="s">
        <v>437</v>
      </c>
      <c r="D162" s="6" t="s">
        <v>75</v>
      </c>
      <c r="E162" s="6" t="s">
        <v>76</v>
      </c>
      <c r="F162" s="7" t="s">
        <v>77</v>
      </c>
      <c r="G162" s="7"/>
      <c r="H162" s="7" t="s">
        <v>78</v>
      </c>
      <c r="I162" s="7"/>
      <c r="J162" s="7" t="s">
        <v>438</v>
      </c>
      <c r="K162" s="7" t="s">
        <v>439</v>
      </c>
      <c r="L162" s="7" t="s">
        <v>132</v>
      </c>
      <c r="M162" s="8" t="str">
        <f t="shared" si="4"/>
        <v>D</v>
      </c>
      <c r="N162" s="8" t="str">
        <f t="shared" si="5"/>
        <v>Complete</v>
      </c>
    </row>
    <row r="163" spans="1:14" ht="27" customHeight="1">
      <c r="A163" s="6">
        <v>162</v>
      </c>
      <c r="B163" s="6" t="s">
        <v>436</v>
      </c>
      <c r="C163" s="6" t="s">
        <v>437</v>
      </c>
      <c r="D163" s="6" t="s">
        <v>82</v>
      </c>
      <c r="E163" s="6" t="s">
        <v>83</v>
      </c>
      <c r="F163" s="7" t="s">
        <v>77</v>
      </c>
      <c r="G163" s="7"/>
      <c r="H163" s="7" t="s">
        <v>88</v>
      </c>
      <c r="I163" s="7" t="s">
        <v>89</v>
      </c>
      <c r="J163" s="7" t="s">
        <v>440</v>
      </c>
      <c r="K163" s="7" t="s">
        <v>441</v>
      </c>
      <c r="L163" s="7" t="s">
        <v>81</v>
      </c>
      <c r="M163" s="8" t="str">
        <f t="shared" si="4"/>
        <v>R</v>
      </c>
      <c r="N163" s="8" t="str">
        <f t="shared" si="5"/>
        <v>Complete</v>
      </c>
    </row>
    <row r="164" spans="1:14" ht="40.5" customHeight="1">
      <c r="A164" s="6">
        <v>163</v>
      </c>
      <c r="B164" s="6" t="s">
        <v>436</v>
      </c>
      <c r="C164" s="6" t="s">
        <v>437</v>
      </c>
      <c r="D164" s="6" t="s">
        <v>86</v>
      </c>
      <c r="E164" s="6" t="s">
        <v>87</v>
      </c>
      <c r="F164" s="7" t="s">
        <v>103</v>
      </c>
      <c r="G164" s="7" t="s">
        <v>114</v>
      </c>
      <c r="H164" s="7"/>
      <c r="I164" s="7"/>
      <c r="J164" s="7" t="s">
        <v>442</v>
      </c>
      <c r="K164" s="7" t="s">
        <v>443</v>
      </c>
      <c r="L164" s="7" t="s">
        <v>81</v>
      </c>
      <c r="M164" s="8" t="str">
        <f t="shared" si="4"/>
        <v>NA</v>
      </c>
      <c r="N164" s="8" t="str">
        <f t="shared" si="5"/>
        <v>Complete</v>
      </c>
    </row>
    <row r="165" spans="1:14" ht="27" customHeight="1">
      <c r="A165" s="6">
        <v>164</v>
      </c>
      <c r="B165" s="6" t="s">
        <v>436</v>
      </c>
      <c r="C165" s="6" t="s">
        <v>437</v>
      </c>
      <c r="D165" s="6" t="s">
        <v>92</v>
      </c>
      <c r="E165" s="6" t="s">
        <v>93</v>
      </c>
      <c r="F165" s="7" t="s">
        <v>77</v>
      </c>
      <c r="G165" s="7"/>
      <c r="H165" s="7" t="s">
        <v>78</v>
      </c>
      <c r="I165" s="7"/>
      <c r="J165" s="7" t="s">
        <v>444</v>
      </c>
      <c r="K165" s="7" t="s">
        <v>445</v>
      </c>
      <c r="L165" s="7" t="s">
        <v>111</v>
      </c>
      <c r="M165" s="8" t="str">
        <f t="shared" si="4"/>
        <v>D</v>
      </c>
      <c r="N165" s="8" t="str">
        <f t="shared" si="5"/>
        <v>Complete</v>
      </c>
    </row>
    <row r="166" spans="1:14" ht="27" customHeight="1">
      <c r="A166" s="6">
        <v>165</v>
      </c>
      <c r="B166" s="6" t="s">
        <v>436</v>
      </c>
      <c r="C166" s="6" t="s">
        <v>437</v>
      </c>
      <c r="D166" s="6" t="s">
        <v>97</v>
      </c>
      <c r="E166" s="6" t="s">
        <v>98</v>
      </c>
      <c r="F166" s="7" t="s">
        <v>77</v>
      </c>
      <c r="G166" s="7"/>
      <c r="H166" s="7" t="s">
        <v>94</v>
      </c>
      <c r="I166" s="7"/>
      <c r="J166" s="7" t="s">
        <v>446</v>
      </c>
      <c r="K166" s="7" t="s">
        <v>447</v>
      </c>
      <c r="L166" s="7" t="s">
        <v>81</v>
      </c>
      <c r="M166" s="8" t="str">
        <f t="shared" si="4"/>
        <v>U</v>
      </c>
      <c r="N166" s="8" t="str">
        <f t="shared" si="5"/>
        <v>Complete</v>
      </c>
    </row>
    <row r="167" spans="1:14" ht="40.5" customHeight="1">
      <c r="A167" s="6">
        <v>166</v>
      </c>
      <c r="B167" s="6" t="s">
        <v>436</v>
      </c>
      <c r="C167" s="6" t="s">
        <v>437</v>
      </c>
      <c r="D167" s="6" t="s">
        <v>101</v>
      </c>
      <c r="E167" s="6" t="s">
        <v>102</v>
      </c>
      <c r="F167" s="7" t="s">
        <v>103</v>
      </c>
      <c r="G167" s="7" t="s">
        <v>104</v>
      </c>
      <c r="H167" s="7"/>
      <c r="I167" s="7"/>
      <c r="J167" s="7" t="s">
        <v>448</v>
      </c>
      <c r="K167" s="7" t="s">
        <v>449</v>
      </c>
      <c r="L167" s="7" t="s">
        <v>81</v>
      </c>
      <c r="M167" s="8" t="str">
        <f t="shared" si="4"/>
        <v>NA</v>
      </c>
      <c r="N167" s="8" t="str">
        <f t="shared" si="5"/>
        <v>Complete</v>
      </c>
    </row>
    <row r="168" spans="1:14" ht="40.5" customHeight="1">
      <c r="A168" s="6">
        <v>167</v>
      </c>
      <c r="B168" s="6" t="s">
        <v>436</v>
      </c>
      <c r="C168" s="6" t="s">
        <v>437</v>
      </c>
      <c r="D168" s="6" t="s">
        <v>107</v>
      </c>
      <c r="E168" s="6" t="s">
        <v>108</v>
      </c>
      <c r="F168" s="7" t="s">
        <v>103</v>
      </c>
      <c r="G168" s="7" t="s">
        <v>104</v>
      </c>
      <c r="H168" s="7"/>
      <c r="I168" s="7"/>
      <c r="J168" s="7" t="s">
        <v>450</v>
      </c>
      <c r="K168" s="7" t="s">
        <v>451</v>
      </c>
      <c r="L168" s="7" t="s">
        <v>81</v>
      </c>
      <c r="M168" s="8" t="str">
        <f t="shared" si="4"/>
        <v>NA</v>
      </c>
      <c r="N168" s="8" t="str">
        <f t="shared" si="5"/>
        <v>Complete</v>
      </c>
    </row>
    <row r="169" spans="1:14" ht="40.5" customHeight="1">
      <c r="A169" s="6">
        <v>168</v>
      </c>
      <c r="B169" s="6" t="s">
        <v>436</v>
      </c>
      <c r="C169" s="6" t="s">
        <v>437</v>
      </c>
      <c r="D169" s="6" t="s">
        <v>112</v>
      </c>
      <c r="E169" s="6" t="s">
        <v>113</v>
      </c>
      <c r="F169" s="7" t="s">
        <v>103</v>
      </c>
      <c r="G169" s="7" t="s">
        <v>114</v>
      </c>
      <c r="H169" s="7"/>
      <c r="I169" s="7"/>
      <c r="J169" s="7" t="s">
        <v>452</v>
      </c>
      <c r="K169" s="7" t="s">
        <v>453</v>
      </c>
      <c r="L169" s="7" t="s">
        <v>132</v>
      </c>
      <c r="M169" s="8" t="str">
        <f t="shared" si="4"/>
        <v>NA</v>
      </c>
      <c r="N169" s="8" t="str">
        <f t="shared" si="5"/>
        <v>Complete</v>
      </c>
    </row>
    <row r="170" spans="1:14" ht="40.5" customHeight="1">
      <c r="A170" s="6">
        <v>169</v>
      </c>
      <c r="B170" s="6" t="s">
        <v>436</v>
      </c>
      <c r="C170" s="6" t="s">
        <v>437</v>
      </c>
      <c r="D170" s="6" t="s">
        <v>117</v>
      </c>
      <c r="E170" s="6" t="s">
        <v>118</v>
      </c>
      <c r="F170" s="7" t="s">
        <v>103</v>
      </c>
      <c r="G170" s="7" t="s">
        <v>114</v>
      </c>
      <c r="H170" s="7"/>
      <c r="I170" s="7"/>
      <c r="J170" s="7" t="s">
        <v>452</v>
      </c>
      <c r="K170" s="7" t="s">
        <v>454</v>
      </c>
      <c r="L170" s="7" t="s">
        <v>132</v>
      </c>
      <c r="M170" s="8" t="str">
        <f t="shared" si="4"/>
        <v>NA</v>
      </c>
      <c r="N170" s="8" t="str">
        <f t="shared" si="5"/>
        <v>Complete</v>
      </c>
    </row>
    <row r="171" spans="1:14" ht="40.5" customHeight="1">
      <c r="A171" s="6">
        <v>170</v>
      </c>
      <c r="B171" s="6" t="s">
        <v>436</v>
      </c>
      <c r="C171" s="6" t="s">
        <v>437</v>
      </c>
      <c r="D171" s="6" t="s">
        <v>122</v>
      </c>
      <c r="E171" s="6" t="s">
        <v>123</v>
      </c>
      <c r="F171" s="7" t="s">
        <v>103</v>
      </c>
      <c r="G171" s="7" t="s">
        <v>114</v>
      </c>
      <c r="H171" s="7"/>
      <c r="I171" s="7"/>
      <c r="J171" s="7" t="s">
        <v>452</v>
      </c>
      <c r="K171" s="7" t="s">
        <v>455</v>
      </c>
      <c r="L171" s="7" t="s">
        <v>132</v>
      </c>
      <c r="M171" s="8" t="str">
        <f t="shared" si="4"/>
        <v>NA</v>
      </c>
      <c r="N171" s="8" t="str">
        <f t="shared" si="5"/>
        <v>Complete</v>
      </c>
    </row>
    <row r="172" spans="1:14" ht="27" customHeight="1">
      <c r="A172" s="6">
        <v>171</v>
      </c>
      <c r="B172" s="6" t="s">
        <v>456</v>
      </c>
      <c r="C172" s="6" t="s">
        <v>457</v>
      </c>
      <c r="D172" s="6" t="s">
        <v>75</v>
      </c>
      <c r="E172" s="6" t="s">
        <v>76</v>
      </c>
      <c r="F172" s="7" t="s">
        <v>77</v>
      </c>
      <c r="G172" s="7"/>
      <c r="H172" s="7" t="s">
        <v>78</v>
      </c>
      <c r="I172" s="7"/>
      <c r="J172" s="7" t="s">
        <v>458</v>
      </c>
      <c r="K172" s="7" t="s">
        <v>459</v>
      </c>
      <c r="L172" s="7" t="s">
        <v>132</v>
      </c>
      <c r="M172" s="8" t="str">
        <f t="shared" si="4"/>
        <v>D</v>
      </c>
      <c r="N172" s="8" t="str">
        <f t="shared" si="5"/>
        <v>Complete</v>
      </c>
    </row>
    <row r="173" spans="1:14" ht="27" customHeight="1">
      <c r="A173" s="6">
        <v>172</v>
      </c>
      <c r="B173" s="6" t="s">
        <v>456</v>
      </c>
      <c r="C173" s="6" t="s">
        <v>457</v>
      </c>
      <c r="D173" s="6" t="s">
        <v>82</v>
      </c>
      <c r="E173" s="6" t="s">
        <v>83</v>
      </c>
      <c r="F173" s="7" t="s">
        <v>77</v>
      </c>
      <c r="G173" s="7"/>
      <c r="H173" s="7" t="s">
        <v>78</v>
      </c>
      <c r="I173" s="7"/>
      <c r="J173" s="7" t="s">
        <v>460</v>
      </c>
      <c r="K173" s="7" t="s">
        <v>461</v>
      </c>
      <c r="L173" s="7" t="s">
        <v>81</v>
      </c>
      <c r="M173" s="8" t="str">
        <f t="shared" si="4"/>
        <v>D</v>
      </c>
      <c r="N173" s="8" t="str">
        <f t="shared" si="5"/>
        <v>Complete</v>
      </c>
    </row>
    <row r="174" spans="1:14" ht="27" customHeight="1">
      <c r="A174" s="6">
        <v>173</v>
      </c>
      <c r="B174" s="6" t="s">
        <v>456</v>
      </c>
      <c r="C174" s="6" t="s">
        <v>457</v>
      </c>
      <c r="D174" s="6" t="s">
        <v>86</v>
      </c>
      <c r="E174" s="6" t="s">
        <v>87</v>
      </c>
      <c r="F174" s="7" t="s">
        <v>77</v>
      </c>
      <c r="G174" s="7"/>
      <c r="H174" s="7" t="s">
        <v>94</v>
      </c>
      <c r="I174" s="7"/>
      <c r="J174" s="7" t="s">
        <v>462</v>
      </c>
      <c r="K174" s="7" t="s">
        <v>463</v>
      </c>
      <c r="L174" s="7" t="s">
        <v>81</v>
      </c>
      <c r="M174" s="8" t="str">
        <f t="shared" si="4"/>
        <v>U</v>
      </c>
      <c r="N174" s="8" t="str">
        <f t="shared" si="5"/>
        <v>Complete</v>
      </c>
    </row>
    <row r="175" spans="1:14" ht="27" customHeight="1">
      <c r="A175" s="6">
        <v>174</v>
      </c>
      <c r="B175" s="6" t="s">
        <v>456</v>
      </c>
      <c r="C175" s="6" t="s">
        <v>457</v>
      </c>
      <c r="D175" s="6" t="s">
        <v>92</v>
      </c>
      <c r="E175" s="6" t="s">
        <v>93</v>
      </c>
      <c r="F175" s="7" t="s">
        <v>77</v>
      </c>
      <c r="G175" s="7"/>
      <c r="H175" s="7" t="s">
        <v>94</v>
      </c>
      <c r="I175" s="7"/>
      <c r="J175" s="7" t="s">
        <v>464</v>
      </c>
      <c r="K175" s="7" t="s">
        <v>465</v>
      </c>
      <c r="L175" s="7" t="s">
        <v>81</v>
      </c>
      <c r="M175" s="8" t="str">
        <f t="shared" si="4"/>
        <v>U</v>
      </c>
      <c r="N175" s="8" t="str">
        <f t="shared" si="5"/>
        <v>Complete</v>
      </c>
    </row>
    <row r="176" spans="1:14" ht="40.5" customHeight="1">
      <c r="A176" s="6">
        <v>175</v>
      </c>
      <c r="B176" s="6" t="s">
        <v>456</v>
      </c>
      <c r="C176" s="6" t="s">
        <v>457</v>
      </c>
      <c r="D176" s="6" t="s">
        <v>97</v>
      </c>
      <c r="E176" s="6" t="s">
        <v>98</v>
      </c>
      <c r="F176" s="7" t="s">
        <v>77</v>
      </c>
      <c r="G176" s="7"/>
      <c r="H176" s="7" t="s">
        <v>94</v>
      </c>
      <c r="I176" s="7"/>
      <c r="J176" s="7" t="s">
        <v>466</v>
      </c>
      <c r="K176" s="7" t="s">
        <v>467</v>
      </c>
      <c r="L176" s="7" t="s">
        <v>81</v>
      </c>
      <c r="M176" s="8" t="str">
        <f t="shared" si="4"/>
        <v>U</v>
      </c>
      <c r="N176" s="8" t="str">
        <f t="shared" si="5"/>
        <v>Complete</v>
      </c>
    </row>
    <row r="177" spans="1:14" ht="40.5" customHeight="1">
      <c r="A177" s="6">
        <v>176</v>
      </c>
      <c r="B177" s="6" t="s">
        <v>456</v>
      </c>
      <c r="C177" s="6" t="s">
        <v>457</v>
      </c>
      <c r="D177" s="6" t="s">
        <v>101</v>
      </c>
      <c r="E177" s="6" t="s">
        <v>102</v>
      </c>
      <c r="F177" s="7" t="s">
        <v>103</v>
      </c>
      <c r="G177" s="7" t="s">
        <v>104</v>
      </c>
      <c r="H177" s="7"/>
      <c r="I177" s="7"/>
      <c r="J177" s="7" t="s">
        <v>468</v>
      </c>
      <c r="K177" s="7" t="s">
        <v>407</v>
      </c>
      <c r="L177" s="7" t="s">
        <v>81</v>
      </c>
      <c r="M177" s="8" t="str">
        <f t="shared" si="4"/>
        <v>NA</v>
      </c>
      <c r="N177" s="8" t="str">
        <f t="shared" si="5"/>
        <v>Complete</v>
      </c>
    </row>
    <row r="178" spans="1:14" ht="40.5" customHeight="1">
      <c r="A178" s="6">
        <v>177</v>
      </c>
      <c r="B178" s="6" t="s">
        <v>456</v>
      </c>
      <c r="C178" s="6" t="s">
        <v>457</v>
      </c>
      <c r="D178" s="6" t="s">
        <v>107</v>
      </c>
      <c r="E178" s="6" t="s">
        <v>108</v>
      </c>
      <c r="F178" s="7" t="s">
        <v>103</v>
      </c>
      <c r="G178" s="7" t="s">
        <v>104</v>
      </c>
      <c r="H178" s="7"/>
      <c r="I178" s="7"/>
      <c r="J178" s="7" t="s">
        <v>468</v>
      </c>
      <c r="K178" s="7" t="s">
        <v>430</v>
      </c>
      <c r="L178" s="7" t="s">
        <v>81</v>
      </c>
      <c r="M178" s="8" t="str">
        <f t="shared" si="4"/>
        <v>NA</v>
      </c>
      <c r="N178" s="8" t="str">
        <f t="shared" si="5"/>
        <v>Complete</v>
      </c>
    </row>
    <row r="179" spans="1:14" ht="40.5" customHeight="1">
      <c r="A179" s="6">
        <v>178</v>
      </c>
      <c r="B179" s="6" t="s">
        <v>456</v>
      </c>
      <c r="C179" s="6" t="s">
        <v>457</v>
      </c>
      <c r="D179" s="6" t="s">
        <v>112</v>
      </c>
      <c r="E179" s="6" t="s">
        <v>113</v>
      </c>
      <c r="F179" s="7" t="s">
        <v>103</v>
      </c>
      <c r="G179" s="7" t="s">
        <v>114</v>
      </c>
      <c r="H179" s="7"/>
      <c r="I179" s="7"/>
      <c r="J179" s="7" t="s">
        <v>469</v>
      </c>
      <c r="K179" s="7" t="s">
        <v>470</v>
      </c>
      <c r="L179" s="7" t="s">
        <v>132</v>
      </c>
      <c r="M179" s="8" t="str">
        <f t="shared" si="4"/>
        <v>NA</v>
      </c>
      <c r="N179" s="8" t="str">
        <f t="shared" si="5"/>
        <v>Complete</v>
      </c>
    </row>
    <row r="180" spans="1:14" ht="27" customHeight="1">
      <c r="A180" s="6">
        <v>179</v>
      </c>
      <c r="B180" s="6" t="s">
        <v>456</v>
      </c>
      <c r="C180" s="6" t="s">
        <v>457</v>
      </c>
      <c r="D180" s="6" t="s">
        <v>117</v>
      </c>
      <c r="E180" s="6" t="s">
        <v>118</v>
      </c>
      <c r="F180" s="7" t="s">
        <v>103</v>
      </c>
      <c r="G180" s="7" t="s">
        <v>104</v>
      </c>
      <c r="H180" s="7"/>
      <c r="I180" s="7"/>
      <c r="J180" s="7" t="s">
        <v>471</v>
      </c>
      <c r="K180" s="7" t="s">
        <v>472</v>
      </c>
      <c r="L180" s="7" t="s">
        <v>111</v>
      </c>
      <c r="M180" s="8" t="str">
        <f t="shared" si="4"/>
        <v>NA</v>
      </c>
      <c r="N180" s="8" t="str">
        <f t="shared" si="5"/>
        <v>Complete</v>
      </c>
    </row>
    <row r="181" spans="1:14" ht="40.5" customHeight="1">
      <c r="A181" s="6">
        <v>180</v>
      </c>
      <c r="B181" s="6" t="s">
        <v>456</v>
      </c>
      <c r="C181" s="6" t="s">
        <v>457</v>
      </c>
      <c r="D181" s="6" t="s">
        <v>122</v>
      </c>
      <c r="E181" s="6" t="s">
        <v>123</v>
      </c>
      <c r="F181" s="7" t="s">
        <v>103</v>
      </c>
      <c r="G181" s="7" t="s">
        <v>104</v>
      </c>
      <c r="H181" s="7"/>
      <c r="I181" s="7"/>
      <c r="J181" s="7" t="s">
        <v>473</v>
      </c>
      <c r="K181" s="7" t="s">
        <v>474</v>
      </c>
      <c r="L181" s="7" t="s">
        <v>81</v>
      </c>
      <c r="M181" s="8" t="str">
        <f t="shared" si="4"/>
        <v>NA</v>
      </c>
      <c r="N181" s="8" t="str">
        <f t="shared" si="5"/>
        <v>Complete</v>
      </c>
    </row>
    <row r="182" spans="1:14" ht="27" customHeight="1">
      <c r="A182" s="6">
        <v>181</v>
      </c>
      <c r="B182" s="6" t="s">
        <v>475</v>
      </c>
      <c r="C182" s="6" t="s">
        <v>476</v>
      </c>
      <c r="D182" s="6" t="s">
        <v>75</v>
      </c>
      <c r="E182" s="6" t="s">
        <v>76</v>
      </c>
      <c r="F182" s="7" t="s">
        <v>77</v>
      </c>
      <c r="G182" s="7"/>
      <c r="H182" s="7" t="s">
        <v>78</v>
      </c>
      <c r="I182" s="7"/>
      <c r="J182" s="7" t="s">
        <v>477</v>
      </c>
      <c r="K182" s="7" t="s">
        <v>478</v>
      </c>
      <c r="L182" s="7" t="s">
        <v>81</v>
      </c>
      <c r="M182" s="8" t="str">
        <f t="shared" si="4"/>
        <v>D</v>
      </c>
      <c r="N182" s="8" t="str">
        <f t="shared" si="5"/>
        <v>Complete</v>
      </c>
    </row>
    <row r="183" spans="1:14" ht="40.5" customHeight="1">
      <c r="A183" s="6">
        <v>182</v>
      </c>
      <c r="B183" s="6" t="s">
        <v>475</v>
      </c>
      <c r="C183" s="6" t="s">
        <v>476</v>
      </c>
      <c r="D183" s="6" t="s">
        <v>82</v>
      </c>
      <c r="E183" s="6" t="s">
        <v>83</v>
      </c>
      <c r="F183" s="7" t="s">
        <v>77</v>
      </c>
      <c r="G183" s="7"/>
      <c r="H183" s="7" t="s">
        <v>78</v>
      </c>
      <c r="I183" s="7"/>
      <c r="J183" s="7" t="s">
        <v>479</v>
      </c>
      <c r="K183" s="7" t="s">
        <v>480</v>
      </c>
      <c r="L183" s="7" t="s">
        <v>111</v>
      </c>
      <c r="M183" s="8" t="str">
        <f t="shared" si="4"/>
        <v>D</v>
      </c>
      <c r="N183" s="8" t="str">
        <f t="shared" si="5"/>
        <v>Complete</v>
      </c>
    </row>
    <row r="184" spans="1:14" ht="40.5" customHeight="1">
      <c r="A184" s="6">
        <v>183</v>
      </c>
      <c r="B184" s="6" t="s">
        <v>475</v>
      </c>
      <c r="C184" s="6" t="s">
        <v>476</v>
      </c>
      <c r="D184" s="6" t="s">
        <v>86</v>
      </c>
      <c r="E184" s="6" t="s">
        <v>87</v>
      </c>
      <c r="F184" s="7" t="s">
        <v>103</v>
      </c>
      <c r="G184" s="7" t="s">
        <v>104</v>
      </c>
      <c r="H184" s="7"/>
      <c r="I184" s="7"/>
      <c r="J184" s="7" t="s">
        <v>481</v>
      </c>
      <c r="K184" s="7" t="s">
        <v>482</v>
      </c>
      <c r="L184" s="7" t="s">
        <v>111</v>
      </c>
      <c r="M184" s="8" t="str">
        <f t="shared" si="4"/>
        <v>NA</v>
      </c>
      <c r="N184" s="8" t="str">
        <f t="shared" si="5"/>
        <v>Complete</v>
      </c>
    </row>
    <row r="185" spans="1:14" ht="27" customHeight="1">
      <c r="A185" s="6">
        <v>184</v>
      </c>
      <c r="B185" s="6" t="s">
        <v>475</v>
      </c>
      <c r="C185" s="6" t="s">
        <v>476</v>
      </c>
      <c r="D185" s="6" t="s">
        <v>92</v>
      </c>
      <c r="E185" s="6" t="s">
        <v>93</v>
      </c>
      <c r="F185" s="7" t="s">
        <v>77</v>
      </c>
      <c r="G185" s="7"/>
      <c r="H185" s="7" t="s">
        <v>94</v>
      </c>
      <c r="I185" s="7"/>
      <c r="J185" s="7" t="s">
        <v>483</v>
      </c>
      <c r="K185" s="7" t="s">
        <v>484</v>
      </c>
      <c r="L185" s="7" t="s">
        <v>111</v>
      </c>
      <c r="M185" s="8" t="str">
        <f t="shared" si="4"/>
        <v>U</v>
      </c>
      <c r="N185" s="8" t="str">
        <f t="shared" si="5"/>
        <v>Complete</v>
      </c>
    </row>
    <row r="186" spans="1:14" ht="27" customHeight="1">
      <c r="A186" s="6">
        <v>185</v>
      </c>
      <c r="B186" s="6" t="s">
        <v>475</v>
      </c>
      <c r="C186" s="6" t="s">
        <v>476</v>
      </c>
      <c r="D186" s="6" t="s">
        <v>97</v>
      </c>
      <c r="E186" s="6" t="s">
        <v>98</v>
      </c>
      <c r="F186" s="7" t="s">
        <v>77</v>
      </c>
      <c r="G186" s="7"/>
      <c r="H186" s="7" t="s">
        <v>94</v>
      </c>
      <c r="I186" s="7"/>
      <c r="J186" s="7" t="s">
        <v>485</v>
      </c>
      <c r="K186" s="7" t="s">
        <v>486</v>
      </c>
      <c r="L186" s="7" t="s">
        <v>81</v>
      </c>
      <c r="M186" s="8" t="str">
        <f t="shared" si="4"/>
        <v>U</v>
      </c>
      <c r="N186" s="8" t="str">
        <f t="shared" si="5"/>
        <v>Complete</v>
      </c>
    </row>
    <row r="187" spans="1:14" ht="27" customHeight="1">
      <c r="A187" s="6">
        <v>186</v>
      </c>
      <c r="B187" s="6" t="s">
        <v>475</v>
      </c>
      <c r="C187" s="6" t="s">
        <v>476</v>
      </c>
      <c r="D187" s="6" t="s">
        <v>101</v>
      </c>
      <c r="E187" s="6" t="s">
        <v>102</v>
      </c>
      <c r="F187" s="7" t="s">
        <v>103</v>
      </c>
      <c r="G187" s="7" t="s">
        <v>104</v>
      </c>
      <c r="H187" s="7"/>
      <c r="I187" s="7"/>
      <c r="J187" s="7" t="s">
        <v>481</v>
      </c>
      <c r="K187" s="7" t="s">
        <v>487</v>
      </c>
      <c r="L187" s="7" t="s">
        <v>111</v>
      </c>
      <c r="M187" s="8" t="str">
        <f t="shared" si="4"/>
        <v>NA</v>
      </c>
      <c r="N187" s="8" t="str">
        <f t="shared" si="5"/>
        <v>Complete</v>
      </c>
    </row>
    <row r="188" spans="1:14" ht="40.5" customHeight="1">
      <c r="A188" s="6">
        <v>187</v>
      </c>
      <c r="B188" s="6" t="s">
        <v>475</v>
      </c>
      <c r="C188" s="6" t="s">
        <v>476</v>
      </c>
      <c r="D188" s="6" t="s">
        <v>107</v>
      </c>
      <c r="E188" s="6" t="s">
        <v>108</v>
      </c>
      <c r="F188" s="7" t="s">
        <v>103</v>
      </c>
      <c r="G188" s="7" t="s">
        <v>104</v>
      </c>
      <c r="H188" s="7"/>
      <c r="I188" s="7"/>
      <c r="J188" s="7" t="s">
        <v>481</v>
      </c>
      <c r="K188" s="7" t="s">
        <v>488</v>
      </c>
      <c r="L188" s="7" t="s">
        <v>111</v>
      </c>
      <c r="M188" s="8" t="str">
        <f t="shared" si="4"/>
        <v>NA</v>
      </c>
      <c r="N188" s="8" t="str">
        <f t="shared" si="5"/>
        <v>Complete</v>
      </c>
    </row>
    <row r="189" spans="1:14" ht="40.5" customHeight="1">
      <c r="A189" s="6">
        <v>188</v>
      </c>
      <c r="B189" s="6" t="s">
        <v>475</v>
      </c>
      <c r="C189" s="6" t="s">
        <v>476</v>
      </c>
      <c r="D189" s="6" t="s">
        <v>112</v>
      </c>
      <c r="E189" s="6" t="s">
        <v>113</v>
      </c>
      <c r="F189" s="7" t="s">
        <v>103</v>
      </c>
      <c r="G189" s="7" t="s">
        <v>114</v>
      </c>
      <c r="H189" s="7"/>
      <c r="I189" s="7"/>
      <c r="J189" s="7" t="s">
        <v>489</v>
      </c>
      <c r="K189" s="7" t="s">
        <v>184</v>
      </c>
      <c r="L189" s="7" t="s">
        <v>81</v>
      </c>
      <c r="M189" s="8" t="str">
        <f t="shared" si="4"/>
        <v>NA</v>
      </c>
      <c r="N189" s="8" t="str">
        <f t="shared" si="5"/>
        <v>Complete</v>
      </c>
    </row>
    <row r="190" spans="1:14" ht="27" customHeight="1">
      <c r="A190" s="6">
        <v>189</v>
      </c>
      <c r="B190" s="6" t="s">
        <v>475</v>
      </c>
      <c r="C190" s="6" t="s">
        <v>476</v>
      </c>
      <c r="D190" s="6" t="s">
        <v>117</v>
      </c>
      <c r="E190" s="6" t="s">
        <v>118</v>
      </c>
      <c r="F190" s="7" t="s">
        <v>77</v>
      </c>
      <c r="G190" s="7"/>
      <c r="H190" s="7" t="s">
        <v>94</v>
      </c>
      <c r="I190" s="7"/>
      <c r="J190" s="7" t="s">
        <v>485</v>
      </c>
      <c r="K190" s="7" t="s">
        <v>490</v>
      </c>
      <c r="L190" s="7" t="s">
        <v>111</v>
      </c>
      <c r="M190" s="8" t="str">
        <f t="shared" si="4"/>
        <v>U</v>
      </c>
      <c r="N190" s="8" t="str">
        <f t="shared" si="5"/>
        <v>Complete</v>
      </c>
    </row>
    <row r="191" spans="1:14" ht="40.5" customHeight="1">
      <c r="A191" s="6">
        <v>190</v>
      </c>
      <c r="B191" s="6" t="s">
        <v>475</v>
      </c>
      <c r="C191" s="6" t="s">
        <v>476</v>
      </c>
      <c r="D191" s="6" t="s">
        <v>122</v>
      </c>
      <c r="E191" s="6" t="s">
        <v>123</v>
      </c>
      <c r="F191" s="7" t="s">
        <v>103</v>
      </c>
      <c r="G191" s="7" t="s">
        <v>104</v>
      </c>
      <c r="H191" s="7"/>
      <c r="I191" s="7"/>
      <c r="J191" s="7" t="s">
        <v>481</v>
      </c>
      <c r="K191" s="7" t="s">
        <v>168</v>
      </c>
      <c r="L191" s="7" t="s">
        <v>81</v>
      </c>
      <c r="M191" s="8" t="str">
        <f t="shared" si="4"/>
        <v>NA</v>
      </c>
      <c r="N191" s="8" t="str">
        <f t="shared" si="5"/>
        <v>Complete</v>
      </c>
    </row>
    <row r="192" spans="1:14" ht="27" customHeight="1">
      <c r="A192" s="6">
        <v>191</v>
      </c>
      <c r="B192" s="6" t="s">
        <v>491</v>
      </c>
      <c r="C192" s="6" t="s">
        <v>492</v>
      </c>
      <c r="D192" s="6" t="s">
        <v>75</v>
      </c>
      <c r="E192" s="6" t="s">
        <v>76</v>
      </c>
      <c r="F192" s="7" t="s">
        <v>77</v>
      </c>
      <c r="G192" s="7"/>
      <c r="H192" s="7" t="s">
        <v>78</v>
      </c>
      <c r="I192" s="7"/>
      <c r="J192" s="7" t="s">
        <v>493</v>
      </c>
      <c r="K192" s="7" t="s">
        <v>494</v>
      </c>
      <c r="L192" s="7" t="s">
        <v>132</v>
      </c>
      <c r="M192" s="8" t="str">
        <f t="shared" si="4"/>
        <v>D</v>
      </c>
      <c r="N192" s="8" t="str">
        <f t="shared" si="5"/>
        <v>Complete</v>
      </c>
    </row>
    <row r="193" spans="1:14" ht="27" customHeight="1">
      <c r="A193" s="6">
        <v>192</v>
      </c>
      <c r="B193" s="6" t="s">
        <v>491</v>
      </c>
      <c r="C193" s="6" t="s">
        <v>492</v>
      </c>
      <c r="D193" s="6" t="s">
        <v>82</v>
      </c>
      <c r="E193" s="6" t="s">
        <v>83</v>
      </c>
      <c r="F193" s="7" t="s">
        <v>77</v>
      </c>
      <c r="G193" s="7"/>
      <c r="H193" s="7" t="s">
        <v>88</v>
      </c>
      <c r="I193" s="7" t="s">
        <v>89</v>
      </c>
      <c r="J193" s="7" t="s">
        <v>495</v>
      </c>
      <c r="K193" s="7" t="s">
        <v>496</v>
      </c>
      <c r="L193" s="7" t="s">
        <v>81</v>
      </c>
      <c r="M193" s="8" t="str">
        <f t="shared" si="4"/>
        <v>R</v>
      </c>
      <c r="N193" s="8" t="str">
        <f t="shared" si="5"/>
        <v>Complete</v>
      </c>
    </row>
    <row r="194" spans="1:14" ht="40.5" customHeight="1">
      <c r="A194" s="6">
        <v>193</v>
      </c>
      <c r="B194" s="6" t="s">
        <v>491</v>
      </c>
      <c r="C194" s="6" t="s">
        <v>492</v>
      </c>
      <c r="D194" s="6" t="s">
        <v>86</v>
      </c>
      <c r="E194" s="6" t="s">
        <v>87</v>
      </c>
      <c r="F194" s="7" t="s">
        <v>103</v>
      </c>
      <c r="G194" s="7" t="s">
        <v>104</v>
      </c>
      <c r="H194" s="7"/>
      <c r="I194" s="7"/>
      <c r="J194" s="7" t="s">
        <v>497</v>
      </c>
      <c r="K194" s="7" t="s">
        <v>498</v>
      </c>
      <c r="L194" s="7" t="s">
        <v>81</v>
      </c>
      <c r="M194" s="8" t="str">
        <f t="shared" ref="M194:M257" si="6">IF(F194="Not applicable","NA",IF(F194="Applicable",IF(H194="","",H194),""))</f>
        <v>NA</v>
      </c>
      <c r="N194" s="8" t="str">
        <f t="shared" ref="N194:N257" si="7">IF(F194="","Applicability missing",IF(AND(F194="Applicable",H194=""),"Record status missing",IF(AND(F194="Applicable",G194&lt;&gt;""),"Boundary strength must be blank for applicable rows",IF(AND(F194="Not applicable",G194=""),"Boundary strength missing",IF(AND(F194="Not applicable",H194&lt;&gt;""),"Record status must be blank for not-applicable rows",IF(AND(H194="R",I194=""),"Recovery stability missing",IF(J194="","Evidence location missing","Complete")))))))</f>
        <v>Complete</v>
      </c>
    </row>
    <row r="195" spans="1:14" ht="27" customHeight="1">
      <c r="A195" s="6">
        <v>194</v>
      </c>
      <c r="B195" s="6" t="s">
        <v>491</v>
      </c>
      <c r="C195" s="6" t="s">
        <v>492</v>
      </c>
      <c r="D195" s="6" t="s">
        <v>92</v>
      </c>
      <c r="E195" s="6" t="s">
        <v>93</v>
      </c>
      <c r="F195" s="7" t="s">
        <v>77</v>
      </c>
      <c r="G195" s="7"/>
      <c r="H195" s="7" t="s">
        <v>88</v>
      </c>
      <c r="I195" s="7" t="s">
        <v>119</v>
      </c>
      <c r="J195" s="7" t="s">
        <v>499</v>
      </c>
      <c r="K195" s="7" t="s">
        <v>500</v>
      </c>
      <c r="L195" s="7" t="s">
        <v>81</v>
      </c>
      <c r="M195" s="8" t="str">
        <f t="shared" si="6"/>
        <v>R</v>
      </c>
      <c r="N195" s="8" t="str">
        <f t="shared" si="7"/>
        <v>Complete</v>
      </c>
    </row>
    <row r="196" spans="1:14" ht="27" customHeight="1">
      <c r="A196" s="6">
        <v>195</v>
      </c>
      <c r="B196" s="6" t="s">
        <v>491</v>
      </c>
      <c r="C196" s="6" t="s">
        <v>492</v>
      </c>
      <c r="D196" s="6" t="s">
        <v>97</v>
      </c>
      <c r="E196" s="6" t="s">
        <v>98</v>
      </c>
      <c r="F196" s="7" t="s">
        <v>77</v>
      </c>
      <c r="G196" s="7"/>
      <c r="H196" s="7" t="s">
        <v>88</v>
      </c>
      <c r="I196" s="7" t="s">
        <v>119</v>
      </c>
      <c r="J196" s="7" t="s">
        <v>501</v>
      </c>
      <c r="K196" s="7" t="s">
        <v>502</v>
      </c>
      <c r="L196" s="7" t="s">
        <v>81</v>
      </c>
      <c r="M196" s="8" t="str">
        <f t="shared" si="6"/>
        <v>R</v>
      </c>
      <c r="N196" s="8" t="str">
        <f t="shared" si="7"/>
        <v>Complete</v>
      </c>
    </row>
    <row r="197" spans="1:14" ht="40.5" customHeight="1">
      <c r="A197" s="6">
        <v>196</v>
      </c>
      <c r="B197" s="6" t="s">
        <v>491</v>
      </c>
      <c r="C197" s="6" t="s">
        <v>492</v>
      </c>
      <c r="D197" s="6" t="s">
        <v>101</v>
      </c>
      <c r="E197" s="6" t="s">
        <v>102</v>
      </c>
      <c r="F197" s="7" t="s">
        <v>103</v>
      </c>
      <c r="G197" s="7" t="s">
        <v>104</v>
      </c>
      <c r="H197" s="7"/>
      <c r="I197" s="7"/>
      <c r="J197" s="7" t="s">
        <v>503</v>
      </c>
      <c r="K197" s="7" t="s">
        <v>407</v>
      </c>
      <c r="L197" s="7" t="s">
        <v>81</v>
      </c>
      <c r="M197" s="8" t="str">
        <f t="shared" si="6"/>
        <v>NA</v>
      </c>
      <c r="N197" s="8" t="str">
        <f t="shared" si="7"/>
        <v>Complete</v>
      </c>
    </row>
    <row r="198" spans="1:14" ht="40.5" customHeight="1">
      <c r="A198" s="6">
        <v>197</v>
      </c>
      <c r="B198" s="6" t="s">
        <v>491</v>
      </c>
      <c r="C198" s="6" t="s">
        <v>492</v>
      </c>
      <c r="D198" s="6" t="s">
        <v>107</v>
      </c>
      <c r="E198" s="6" t="s">
        <v>108</v>
      </c>
      <c r="F198" s="7" t="s">
        <v>103</v>
      </c>
      <c r="G198" s="7" t="s">
        <v>104</v>
      </c>
      <c r="H198" s="7"/>
      <c r="I198" s="7"/>
      <c r="J198" s="7" t="s">
        <v>504</v>
      </c>
      <c r="K198" s="7" t="s">
        <v>505</v>
      </c>
      <c r="L198" s="7" t="s">
        <v>81</v>
      </c>
      <c r="M198" s="8" t="str">
        <f t="shared" si="6"/>
        <v>NA</v>
      </c>
      <c r="N198" s="8" t="str">
        <f t="shared" si="7"/>
        <v>Complete</v>
      </c>
    </row>
    <row r="199" spans="1:14" ht="40.5" customHeight="1">
      <c r="A199" s="6">
        <v>198</v>
      </c>
      <c r="B199" s="6" t="s">
        <v>491</v>
      </c>
      <c r="C199" s="6" t="s">
        <v>492</v>
      </c>
      <c r="D199" s="6" t="s">
        <v>112</v>
      </c>
      <c r="E199" s="6" t="s">
        <v>113</v>
      </c>
      <c r="F199" s="7" t="s">
        <v>103</v>
      </c>
      <c r="G199" s="7" t="s">
        <v>114</v>
      </c>
      <c r="H199" s="7"/>
      <c r="I199" s="7"/>
      <c r="J199" s="7" t="s">
        <v>506</v>
      </c>
      <c r="K199" s="7" t="s">
        <v>184</v>
      </c>
      <c r="L199" s="7" t="s">
        <v>132</v>
      </c>
      <c r="M199" s="8" t="str">
        <f t="shared" si="6"/>
        <v>NA</v>
      </c>
      <c r="N199" s="8" t="str">
        <f t="shared" si="7"/>
        <v>Complete</v>
      </c>
    </row>
    <row r="200" spans="1:14" ht="40.5" customHeight="1">
      <c r="A200" s="6">
        <v>199</v>
      </c>
      <c r="B200" s="6" t="s">
        <v>491</v>
      </c>
      <c r="C200" s="6" t="s">
        <v>492</v>
      </c>
      <c r="D200" s="6" t="s">
        <v>117</v>
      </c>
      <c r="E200" s="6" t="s">
        <v>118</v>
      </c>
      <c r="F200" s="7" t="s">
        <v>103</v>
      </c>
      <c r="G200" s="7" t="s">
        <v>104</v>
      </c>
      <c r="H200" s="7"/>
      <c r="I200" s="7"/>
      <c r="J200" s="7" t="s">
        <v>507</v>
      </c>
      <c r="K200" s="7" t="s">
        <v>508</v>
      </c>
      <c r="L200" s="7" t="s">
        <v>81</v>
      </c>
      <c r="M200" s="8" t="str">
        <f t="shared" si="6"/>
        <v>NA</v>
      </c>
      <c r="N200" s="8" t="str">
        <f t="shared" si="7"/>
        <v>Complete</v>
      </c>
    </row>
    <row r="201" spans="1:14" ht="40.5" customHeight="1">
      <c r="A201" s="6">
        <v>200</v>
      </c>
      <c r="B201" s="6" t="s">
        <v>491</v>
      </c>
      <c r="C201" s="6" t="s">
        <v>492</v>
      </c>
      <c r="D201" s="6" t="s">
        <v>122</v>
      </c>
      <c r="E201" s="6" t="s">
        <v>123</v>
      </c>
      <c r="F201" s="7" t="s">
        <v>103</v>
      </c>
      <c r="G201" s="7" t="s">
        <v>104</v>
      </c>
      <c r="H201" s="7"/>
      <c r="I201" s="7"/>
      <c r="J201" s="7" t="s">
        <v>504</v>
      </c>
      <c r="K201" s="7" t="s">
        <v>509</v>
      </c>
      <c r="L201" s="7" t="s">
        <v>81</v>
      </c>
      <c r="M201" s="8" t="str">
        <f t="shared" si="6"/>
        <v>NA</v>
      </c>
      <c r="N201" s="8" t="str">
        <f t="shared" si="7"/>
        <v>Complete</v>
      </c>
    </row>
    <row r="202" spans="1:14" ht="27" customHeight="1">
      <c r="A202" s="6">
        <v>201</v>
      </c>
      <c r="B202" s="6" t="s">
        <v>510</v>
      </c>
      <c r="C202" s="6" t="s">
        <v>511</v>
      </c>
      <c r="D202" s="6" t="s">
        <v>75</v>
      </c>
      <c r="E202" s="6" t="s">
        <v>76</v>
      </c>
      <c r="F202" s="7" t="s">
        <v>77</v>
      </c>
      <c r="G202" s="7"/>
      <c r="H202" s="7" t="s">
        <v>78</v>
      </c>
      <c r="I202" s="7"/>
      <c r="J202" s="7" t="s">
        <v>512</v>
      </c>
      <c r="K202" s="7" t="s">
        <v>513</v>
      </c>
      <c r="L202" s="7" t="s">
        <v>132</v>
      </c>
      <c r="M202" s="8" t="str">
        <f t="shared" si="6"/>
        <v>D</v>
      </c>
      <c r="N202" s="8" t="str">
        <f t="shared" si="7"/>
        <v>Complete</v>
      </c>
    </row>
    <row r="203" spans="1:14" ht="40.5" customHeight="1">
      <c r="A203" s="6">
        <v>202</v>
      </c>
      <c r="B203" s="6" t="s">
        <v>510</v>
      </c>
      <c r="C203" s="6" t="s">
        <v>511</v>
      </c>
      <c r="D203" s="6" t="s">
        <v>82</v>
      </c>
      <c r="E203" s="6" t="s">
        <v>83</v>
      </c>
      <c r="F203" s="7" t="s">
        <v>77</v>
      </c>
      <c r="G203" s="7"/>
      <c r="H203" s="7" t="s">
        <v>88</v>
      </c>
      <c r="I203" s="7" t="s">
        <v>89</v>
      </c>
      <c r="J203" s="7" t="s">
        <v>514</v>
      </c>
      <c r="K203" s="7" t="s">
        <v>515</v>
      </c>
      <c r="L203" s="7" t="s">
        <v>81</v>
      </c>
      <c r="M203" s="8" t="str">
        <f t="shared" si="6"/>
        <v>R</v>
      </c>
      <c r="N203" s="8" t="str">
        <f t="shared" si="7"/>
        <v>Complete</v>
      </c>
    </row>
    <row r="204" spans="1:14" ht="27" customHeight="1">
      <c r="A204" s="6">
        <v>203</v>
      </c>
      <c r="B204" s="6" t="s">
        <v>510</v>
      </c>
      <c r="C204" s="6" t="s">
        <v>511</v>
      </c>
      <c r="D204" s="6" t="s">
        <v>86</v>
      </c>
      <c r="E204" s="6" t="s">
        <v>87</v>
      </c>
      <c r="F204" s="7" t="s">
        <v>77</v>
      </c>
      <c r="G204" s="7"/>
      <c r="H204" s="7" t="s">
        <v>78</v>
      </c>
      <c r="I204" s="7"/>
      <c r="J204" s="7" t="s">
        <v>516</v>
      </c>
      <c r="K204" s="7" t="s">
        <v>517</v>
      </c>
      <c r="L204" s="7" t="s">
        <v>132</v>
      </c>
      <c r="M204" s="8" t="str">
        <f t="shared" si="6"/>
        <v>D</v>
      </c>
      <c r="N204" s="8" t="str">
        <f t="shared" si="7"/>
        <v>Complete</v>
      </c>
    </row>
    <row r="205" spans="1:14" ht="40.5" customHeight="1">
      <c r="A205" s="6">
        <v>204</v>
      </c>
      <c r="B205" s="6" t="s">
        <v>510</v>
      </c>
      <c r="C205" s="6" t="s">
        <v>511</v>
      </c>
      <c r="D205" s="6" t="s">
        <v>92</v>
      </c>
      <c r="E205" s="6" t="s">
        <v>93</v>
      </c>
      <c r="F205" s="7" t="s">
        <v>77</v>
      </c>
      <c r="G205" s="7"/>
      <c r="H205" s="7" t="s">
        <v>94</v>
      </c>
      <c r="I205" s="7"/>
      <c r="J205" s="7" t="s">
        <v>514</v>
      </c>
      <c r="K205" s="7" t="s">
        <v>518</v>
      </c>
      <c r="L205" s="7" t="s">
        <v>81</v>
      </c>
      <c r="M205" s="8" t="str">
        <f t="shared" si="6"/>
        <v>U</v>
      </c>
      <c r="N205" s="8" t="str">
        <f t="shared" si="7"/>
        <v>Complete</v>
      </c>
    </row>
    <row r="206" spans="1:14" ht="27" customHeight="1">
      <c r="A206" s="6">
        <v>205</v>
      </c>
      <c r="B206" s="6" t="s">
        <v>510</v>
      </c>
      <c r="C206" s="6" t="s">
        <v>511</v>
      </c>
      <c r="D206" s="6" t="s">
        <v>97</v>
      </c>
      <c r="E206" s="6" t="s">
        <v>98</v>
      </c>
      <c r="F206" s="7" t="s">
        <v>77</v>
      </c>
      <c r="G206" s="7"/>
      <c r="H206" s="7" t="s">
        <v>94</v>
      </c>
      <c r="I206" s="7"/>
      <c r="J206" s="7" t="s">
        <v>519</v>
      </c>
      <c r="K206" s="7" t="s">
        <v>520</v>
      </c>
      <c r="L206" s="7" t="s">
        <v>81</v>
      </c>
      <c r="M206" s="8" t="str">
        <f t="shared" si="6"/>
        <v>U</v>
      </c>
      <c r="N206" s="8" t="str">
        <f t="shared" si="7"/>
        <v>Complete</v>
      </c>
    </row>
    <row r="207" spans="1:14" ht="40.5" customHeight="1">
      <c r="A207" s="6">
        <v>206</v>
      </c>
      <c r="B207" s="6" t="s">
        <v>510</v>
      </c>
      <c r="C207" s="6" t="s">
        <v>511</v>
      </c>
      <c r="D207" s="6" t="s">
        <v>101</v>
      </c>
      <c r="E207" s="6" t="s">
        <v>102</v>
      </c>
      <c r="F207" s="7" t="s">
        <v>103</v>
      </c>
      <c r="G207" s="7" t="s">
        <v>104</v>
      </c>
      <c r="H207" s="7"/>
      <c r="I207" s="7"/>
      <c r="J207" s="7" t="s">
        <v>521</v>
      </c>
      <c r="K207" s="7" t="s">
        <v>522</v>
      </c>
      <c r="L207" s="7" t="s">
        <v>81</v>
      </c>
      <c r="M207" s="8" t="str">
        <f t="shared" si="6"/>
        <v>NA</v>
      </c>
      <c r="N207" s="8" t="str">
        <f t="shared" si="7"/>
        <v>Complete</v>
      </c>
    </row>
    <row r="208" spans="1:14" ht="40.5" customHeight="1">
      <c r="A208" s="6">
        <v>207</v>
      </c>
      <c r="B208" s="6" t="s">
        <v>510</v>
      </c>
      <c r="C208" s="6" t="s">
        <v>511</v>
      </c>
      <c r="D208" s="6" t="s">
        <v>107</v>
      </c>
      <c r="E208" s="6" t="s">
        <v>108</v>
      </c>
      <c r="F208" s="7" t="s">
        <v>103</v>
      </c>
      <c r="G208" s="7" t="s">
        <v>104</v>
      </c>
      <c r="H208" s="7"/>
      <c r="I208" s="7"/>
      <c r="J208" s="7" t="s">
        <v>523</v>
      </c>
      <c r="K208" s="7" t="s">
        <v>524</v>
      </c>
      <c r="L208" s="7" t="s">
        <v>81</v>
      </c>
      <c r="M208" s="8" t="str">
        <f t="shared" si="6"/>
        <v>NA</v>
      </c>
      <c r="N208" s="8" t="str">
        <f t="shared" si="7"/>
        <v>Complete</v>
      </c>
    </row>
    <row r="209" spans="1:14" ht="40.5" customHeight="1">
      <c r="A209" s="6">
        <v>208</v>
      </c>
      <c r="B209" s="6" t="s">
        <v>510</v>
      </c>
      <c r="C209" s="6" t="s">
        <v>511</v>
      </c>
      <c r="D209" s="6" t="s">
        <v>112</v>
      </c>
      <c r="E209" s="6" t="s">
        <v>113</v>
      </c>
      <c r="F209" s="7" t="s">
        <v>103</v>
      </c>
      <c r="G209" s="7" t="s">
        <v>114</v>
      </c>
      <c r="H209" s="7"/>
      <c r="I209" s="7"/>
      <c r="J209" s="7" t="s">
        <v>525</v>
      </c>
      <c r="K209" s="7" t="s">
        <v>526</v>
      </c>
      <c r="L209" s="7" t="s">
        <v>132</v>
      </c>
      <c r="M209" s="8" t="str">
        <f t="shared" si="6"/>
        <v>NA</v>
      </c>
      <c r="N209" s="8" t="str">
        <f t="shared" si="7"/>
        <v>Complete</v>
      </c>
    </row>
    <row r="210" spans="1:14" ht="40.5" customHeight="1">
      <c r="A210" s="6">
        <v>209</v>
      </c>
      <c r="B210" s="6" t="s">
        <v>510</v>
      </c>
      <c r="C210" s="6" t="s">
        <v>511</v>
      </c>
      <c r="D210" s="6" t="s">
        <v>117</v>
      </c>
      <c r="E210" s="6" t="s">
        <v>118</v>
      </c>
      <c r="F210" s="7" t="s">
        <v>103</v>
      </c>
      <c r="G210" s="7" t="s">
        <v>104</v>
      </c>
      <c r="H210" s="7"/>
      <c r="I210" s="7"/>
      <c r="J210" s="7" t="s">
        <v>527</v>
      </c>
      <c r="K210" s="7" t="s">
        <v>528</v>
      </c>
      <c r="L210" s="7" t="s">
        <v>81</v>
      </c>
      <c r="M210" s="8" t="str">
        <f t="shared" si="6"/>
        <v>NA</v>
      </c>
      <c r="N210" s="8" t="str">
        <f t="shared" si="7"/>
        <v>Complete</v>
      </c>
    </row>
    <row r="211" spans="1:14" ht="40.5" customHeight="1">
      <c r="A211" s="6">
        <v>210</v>
      </c>
      <c r="B211" s="6" t="s">
        <v>510</v>
      </c>
      <c r="C211" s="6" t="s">
        <v>511</v>
      </c>
      <c r="D211" s="6" t="s">
        <v>122</v>
      </c>
      <c r="E211" s="6" t="s">
        <v>123</v>
      </c>
      <c r="F211" s="7" t="s">
        <v>103</v>
      </c>
      <c r="G211" s="7" t="s">
        <v>104</v>
      </c>
      <c r="H211" s="7"/>
      <c r="I211" s="7"/>
      <c r="J211" s="7" t="s">
        <v>529</v>
      </c>
      <c r="K211" s="7" t="s">
        <v>168</v>
      </c>
      <c r="L211" s="7" t="s">
        <v>81</v>
      </c>
      <c r="M211" s="8" t="str">
        <f t="shared" si="6"/>
        <v>NA</v>
      </c>
      <c r="N211" s="8" t="str">
        <f t="shared" si="7"/>
        <v>Complete</v>
      </c>
    </row>
    <row r="212" spans="1:14" ht="27" customHeight="1">
      <c r="A212" s="6">
        <v>211</v>
      </c>
      <c r="B212" s="6" t="s">
        <v>530</v>
      </c>
      <c r="C212" s="6" t="s">
        <v>531</v>
      </c>
      <c r="D212" s="6" t="s">
        <v>75</v>
      </c>
      <c r="E212" s="6" t="s">
        <v>76</v>
      </c>
      <c r="F212" s="7" t="s">
        <v>77</v>
      </c>
      <c r="G212" s="7"/>
      <c r="H212" s="7" t="s">
        <v>78</v>
      </c>
      <c r="I212" s="7"/>
      <c r="J212" s="7" t="s">
        <v>532</v>
      </c>
      <c r="K212" s="7" t="s">
        <v>533</v>
      </c>
      <c r="L212" s="7" t="s">
        <v>132</v>
      </c>
      <c r="M212" s="8" t="str">
        <f t="shared" si="6"/>
        <v>D</v>
      </c>
      <c r="N212" s="8" t="str">
        <f t="shared" si="7"/>
        <v>Complete</v>
      </c>
    </row>
    <row r="213" spans="1:14" ht="27" customHeight="1">
      <c r="A213" s="6">
        <v>212</v>
      </c>
      <c r="B213" s="6" t="s">
        <v>530</v>
      </c>
      <c r="C213" s="6" t="s">
        <v>531</v>
      </c>
      <c r="D213" s="6" t="s">
        <v>82</v>
      </c>
      <c r="E213" s="6" t="s">
        <v>83</v>
      </c>
      <c r="F213" s="7" t="s">
        <v>77</v>
      </c>
      <c r="G213" s="7"/>
      <c r="H213" s="7" t="s">
        <v>88</v>
      </c>
      <c r="I213" s="7" t="s">
        <v>89</v>
      </c>
      <c r="J213" s="7" t="s">
        <v>534</v>
      </c>
      <c r="K213" s="7" t="s">
        <v>535</v>
      </c>
      <c r="L213" s="7" t="s">
        <v>81</v>
      </c>
      <c r="M213" s="8" t="str">
        <f t="shared" si="6"/>
        <v>R</v>
      </c>
      <c r="N213" s="8" t="str">
        <f t="shared" si="7"/>
        <v>Complete</v>
      </c>
    </row>
    <row r="214" spans="1:14" ht="27" customHeight="1">
      <c r="A214" s="6">
        <v>213</v>
      </c>
      <c r="B214" s="6" t="s">
        <v>530</v>
      </c>
      <c r="C214" s="6" t="s">
        <v>531</v>
      </c>
      <c r="D214" s="6" t="s">
        <v>86</v>
      </c>
      <c r="E214" s="6" t="s">
        <v>87</v>
      </c>
      <c r="F214" s="7" t="s">
        <v>77</v>
      </c>
      <c r="G214" s="7"/>
      <c r="H214" s="7" t="s">
        <v>78</v>
      </c>
      <c r="I214" s="7"/>
      <c r="J214" s="7" t="s">
        <v>536</v>
      </c>
      <c r="K214" s="7" t="s">
        <v>537</v>
      </c>
      <c r="L214" s="7" t="s">
        <v>111</v>
      </c>
      <c r="M214" s="8" t="str">
        <f t="shared" si="6"/>
        <v>D</v>
      </c>
      <c r="N214" s="8" t="str">
        <f t="shared" si="7"/>
        <v>Complete</v>
      </c>
    </row>
    <row r="215" spans="1:14" ht="27" customHeight="1">
      <c r="A215" s="6">
        <v>214</v>
      </c>
      <c r="B215" s="6" t="s">
        <v>530</v>
      </c>
      <c r="C215" s="6" t="s">
        <v>531</v>
      </c>
      <c r="D215" s="6" t="s">
        <v>92</v>
      </c>
      <c r="E215" s="6" t="s">
        <v>93</v>
      </c>
      <c r="F215" s="7" t="s">
        <v>77</v>
      </c>
      <c r="G215" s="7"/>
      <c r="H215" s="7" t="s">
        <v>94</v>
      </c>
      <c r="I215" s="7"/>
      <c r="J215" s="7" t="s">
        <v>538</v>
      </c>
      <c r="K215" s="7" t="s">
        <v>539</v>
      </c>
      <c r="L215" s="7" t="s">
        <v>81</v>
      </c>
      <c r="M215" s="8" t="str">
        <f t="shared" si="6"/>
        <v>U</v>
      </c>
      <c r="N215" s="8" t="str">
        <f t="shared" si="7"/>
        <v>Complete</v>
      </c>
    </row>
    <row r="216" spans="1:14" ht="27" customHeight="1">
      <c r="A216" s="6">
        <v>215</v>
      </c>
      <c r="B216" s="6" t="s">
        <v>530</v>
      </c>
      <c r="C216" s="6" t="s">
        <v>531</v>
      </c>
      <c r="D216" s="6" t="s">
        <v>97</v>
      </c>
      <c r="E216" s="6" t="s">
        <v>98</v>
      </c>
      <c r="F216" s="7" t="s">
        <v>77</v>
      </c>
      <c r="G216" s="7"/>
      <c r="H216" s="7" t="s">
        <v>94</v>
      </c>
      <c r="I216" s="7"/>
      <c r="J216" s="7" t="s">
        <v>540</v>
      </c>
      <c r="K216" s="7" t="s">
        <v>541</v>
      </c>
      <c r="L216" s="7" t="s">
        <v>81</v>
      </c>
      <c r="M216" s="8" t="str">
        <f t="shared" si="6"/>
        <v>U</v>
      </c>
      <c r="N216" s="8" t="str">
        <f t="shared" si="7"/>
        <v>Complete</v>
      </c>
    </row>
    <row r="217" spans="1:14" ht="40.5" customHeight="1">
      <c r="A217" s="6">
        <v>216</v>
      </c>
      <c r="B217" s="6" t="s">
        <v>530</v>
      </c>
      <c r="C217" s="6" t="s">
        <v>531</v>
      </c>
      <c r="D217" s="6" t="s">
        <v>101</v>
      </c>
      <c r="E217" s="6" t="s">
        <v>102</v>
      </c>
      <c r="F217" s="7" t="s">
        <v>103</v>
      </c>
      <c r="G217" s="7" t="s">
        <v>104</v>
      </c>
      <c r="H217" s="7"/>
      <c r="I217" s="7"/>
      <c r="J217" s="7" t="s">
        <v>542</v>
      </c>
      <c r="K217" s="7" t="s">
        <v>407</v>
      </c>
      <c r="L217" s="7" t="s">
        <v>81</v>
      </c>
      <c r="M217" s="8" t="str">
        <f t="shared" si="6"/>
        <v>NA</v>
      </c>
      <c r="N217" s="8" t="str">
        <f t="shared" si="7"/>
        <v>Complete</v>
      </c>
    </row>
    <row r="218" spans="1:14" ht="40.5" customHeight="1">
      <c r="A218" s="6">
        <v>217</v>
      </c>
      <c r="B218" s="6" t="s">
        <v>530</v>
      </c>
      <c r="C218" s="6" t="s">
        <v>531</v>
      </c>
      <c r="D218" s="6" t="s">
        <v>107</v>
      </c>
      <c r="E218" s="6" t="s">
        <v>108</v>
      </c>
      <c r="F218" s="7" t="s">
        <v>103</v>
      </c>
      <c r="G218" s="7" t="s">
        <v>104</v>
      </c>
      <c r="H218" s="7"/>
      <c r="I218" s="7"/>
      <c r="J218" s="7" t="s">
        <v>543</v>
      </c>
      <c r="K218" s="7" t="s">
        <v>544</v>
      </c>
      <c r="L218" s="7" t="s">
        <v>81</v>
      </c>
      <c r="M218" s="8" t="str">
        <f t="shared" si="6"/>
        <v>NA</v>
      </c>
      <c r="N218" s="8" t="str">
        <f t="shared" si="7"/>
        <v>Complete</v>
      </c>
    </row>
    <row r="219" spans="1:14" ht="40.5" customHeight="1">
      <c r="A219" s="6">
        <v>218</v>
      </c>
      <c r="B219" s="6" t="s">
        <v>530</v>
      </c>
      <c r="C219" s="6" t="s">
        <v>531</v>
      </c>
      <c r="D219" s="6" t="s">
        <v>112</v>
      </c>
      <c r="E219" s="6" t="s">
        <v>113</v>
      </c>
      <c r="F219" s="7" t="s">
        <v>103</v>
      </c>
      <c r="G219" s="7" t="s">
        <v>114</v>
      </c>
      <c r="H219" s="7"/>
      <c r="I219" s="7"/>
      <c r="J219" s="7" t="s">
        <v>545</v>
      </c>
      <c r="K219" s="7" t="s">
        <v>184</v>
      </c>
      <c r="L219" s="7" t="s">
        <v>132</v>
      </c>
      <c r="M219" s="8" t="str">
        <f t="shared" si="6"/>
        <v>NA</v>
      </c>
      <c r="N219" s="8" t="str">
        <f t="shared" si="7"/>
        <v>Complete</v>
      </c>
    </row>
    <row r="220" spans="1:14" ht="40.5" customHeight="1">
      <c r="A220" s="6">
        <v>219</v>
      </c>
      <c r="B220" s="6" t="s">
        <v>530</v>
      </c>
      <c r="C220" s="6" t="s">
        <v>531</v>
      </c>
      <c r="D220" s="6" t="s">
        <v>117</v>
      </c>
      <c r="E220" s="6" t="s">
        <v>118</v>
      </c>
      <c r="F220" s="7" t="s">
        <v>103</v>
      </c>
      <c r="G220" s="7" t="s">
        <v>104</v>
      </c>
      <c r="H220" s="7"/>
      <c r="I220" s="7"/>
      <c r="J220" s="7" t="s">
        <v>546</v>
      </c>
      <c r="K220" s="7" t="s">
        <v>547</v>
      </c>
      <c r="L220" s="7" t="s">
        <v>81</v>
      </c>
      <c r="M220" s="8" t="str">
        <f t="shared" si="6"/>
        <v>NA</v>
      </c>
      <c r="N220" s="8" t="str">
        <f t="shared" si="7"/>
        <v>Complete</v>
      </c>
    </row>
    <row r="221" spans="1:14" ht="40.5" customHeight="1">
      <c r="A221" s="6">
        <v>220</v>
      </c>
      <c r="B221" s="6" t="s">
        <v>530</v>
      </c>
      <c r="C221" s="6" t="s">
        <v>531</v>
      </c>
      <c r="D221" s="6" t="s">
        <v>122</v>
      </c>
      <c r="E221" s="6" t="s">
        <v>123</v>
      </c>
      <c r="F221" s="7" t="s">
        <v>103</v>
      </c>
      <c r="G221" s="7" t="s">
        <v>104</v>
      </c>
      <c r="H221" s="7"/>
      <c r="I221" s="7"/>
      <c r="J221" s="7" t="s">
        <v>548</v>
      </c>
      <c r="K221" s="7" t="s">
        <v>549</v>
      </c>
      <c r="L221" s="7" t="s">
        <v>81</v>
      </c>
      <c r="M221" s="8" t="str">
        <f t="shared" si="6"/>
        <v>NA</v>
      </c>
      <c r="N221" s="8" t="str">
        <f t="shared" si="7"/>
        <v>Complete</v>
      </c>
    </row>
    <row r="222" spans="1:14" ht="40.5" customHeight="1">
      <c r="A222" s="6">
        <v>221</v>
      </c>
      <c r="B222" s="6" t="s">
        <v>550</v>
      </c>
      <c r="C222" s="6" t="s">
        <v>551</v>
      </c>
      <c r="D222" s="6" t="s">
        <v>75</v>
      </c>
      <c r="E222" s="6" t="s">
        <v>76</v>
      </c>
      <c r="F222" s="7" t="s">
        <v>77</v>
      </c>
      <c r="G222" s="7"/>
      <c r="H222" s="7" t="s">
        <v>78</v>
      </c>
      <c r="I222" s="7"/>
      <c r="J222" s="7" t="s">
        <v>552</v>
      </c>
      <c r="K222" s="7" t="s">
        <v>553</v>
      </c>
      <c r="L222" s="7" t="s">
        <v>81</v>
      </c>
      <c r="M222" s="8" t="str">
        <f t="shared" si="6"/>
        <v>D</v>
      </c>
      <c r="N222" s="8" t="str">
        <f t="shared" si="7"/>
        <v>Complete</v>
      </c>
    </row>
    <row r="223" spans="1:14" ht="27" customHeight="1">
      <c r="A223" s="6">
        <v>222</v>
      </c>
      <c r="B223" s="6" t="s">
        <v>550</v>
      </c>
      <c r="C223" s="6" t="s">
        <v>551</v>
      </c>
      <c r="D223" s="6" t="s">
        <v>82</v>
      </c>
      <c r="E223" s="6" t="s">
        <v>83</v>
      </c>
      <c r="F223" s="7" t="s">
        <v>77</v>
      </c>
      <c r="G223" s="7"/>
      <c r="H223" s="7" t="s">
        <v>78</v>
      </c>
      <c r="I223" s="7"/>
      <c r="J223" s="7" t="s">
        <v>554</v>
      </c>
      <c r="K223" s="7" t="s">
        <v>555</v>
      </c>
      <c r="L223" s="7" t="s">
        <v>81</v>
      </c>
      <c r="M223" s="8" t="str">
        <f t="shared" si="6"/>
        <v>D</v>
      </c>
      <c r="N223" s="8" t="str">
        <f t="shared" si="7"/>
        <v>Complete</v>
      </c>
    </row>
    <row r="224" spans="1:14" ht="27" customHeight="1">
      <c r="A224" s="6">
        <v>223</v>
      </c>
      <c r="B224" s="6" t="s">
        <v>550</v>
      </c>
      <c r="C224" s="6" t="s">
        <v>551</v>
      </c>
      <c r="D224" s="6" t="s">
        <v>86</v>
      </c>
      <c r="E224" s="6" t="s">
        <v>87</v>
      </c>
      <c r="F224" s="7" t="s">
        <v>77</v>
      </c>
      <c r="G224" s="7"/>
      <c r="H224" s="7" t="s">
        <v>78</v>
      </c>
      <c r="I224" s="7"/>
      <c r="J224" s="7" t="s">
        <v>556</v>
      </c>
      <c r="K224" s="7" t="s">
        <v>557</v>
      </c>
      <c r="L224" s="7" t="s">
        <v>81</v>
      </c>
      <c r="M224" s="8" t="str">
        <f t="shared" si="6"/>
        <v>D</v>
      </c>
      <c r="N224" s="8" t="str">
        <f t="shared" si="7"/>
        <v>Complete</v>
      </c>
    </row>
    <row r="225" spans="1:14" ht="27" customHeight="1">
      <c r="A225" s="6">
        <v>224</v>
      </c>
      <c r="B225" s="6" t="s">
        <v>550</v>
      </c>
      <c r="C225" s="6" t="s">
        <v>551</v>
      </c>
      <c r="D225" s="6" t="s">
        <v>92</v>
      </c>
      <c r="E225" s="6" t="s">
        <v>93</v>
      </c>
      <c r="F225" s="7" t="s">
        <v>77</v>
      </c>
      <c r="G225" s="7"/>
      <c r="H225" s="7" t="s">
        <v>94</v>
      </c>
      <c r="I225" s="7"/>
      <c r="J225" s="7" t="s">
        <v>558</v>
      </c>
      <c r="K225" s="7" t="s">
        <v>559</v>
      </c>
      <c r="L225" s="7" t="s">
        <v>81</v>
      </c>
      <c r="M225" s="8" t="str">
        <f t="shared" si="6"/>
        <v>U</v>
      </c>
      <c r="N225" s="8" t="str">
        <f t="shared" si="7"/>
        <v>Complete</v>
      </c>
    </row>
    <row r="226" spans="1:14" ht="27" customHeight="1">
      <c r="A226" s="6">
        <v>225</v>
      </c>
      <c r="B226" s="6" t="s">
        <v>550</v>
      </c>
      <c r="C226" s="6" t="s">
        <v>551</v>
      </c>
      <c r="D226" s="6" t="s">
        <v>97</v>
      </c>
      <c r="E226" s="6" t="s">
        <v>98</v>
      </c>
      <c r="F226" s="7" t="s">
        <v>77</v>
      </c>
      <c r="G226" s="7"/>
      <c r="H226" s="7" t="s">
        <v>94</v>
      </c>
      <c r="I226" s="7"/>
      <c r="J226" s="7" t="s">
        <v>560</v>
      </c>
      <c r="K226" s="7" t="s">
        <v>285</v>
      </c>
      <c r="L226" s="7" t="s">
        <v>81</v>
      </c>
      <c r="M226" s="8" t="str">
        <f t="shared" si="6"/>
        <v>U</v>
      </c>
      <c r="N226" s="8" t="str">
        <f t="shared" si="7"/>
        <v>Complete</v>
      </c>
    </row>
    <row r="227" spans="1:14" ht="40.5" customHeight="1">
      <c r="A227" s="6">
        <v>226</v>
      </c>
      <c r="B227" s="6" t="s">
        <v>550</v>
      </c>
      <c r="C227" s="6" t="s">
        <v>551</v>
      </c>
      <c r="D227" s="6" t="s">
        <v>101</v>
      </c>
      <c r="E227" s="6" t="s">
        <v>102</v>
      </c>
      <c r="F227" s="7" t="s">
        <v>103</v>
      </c>
      <c r="G227" s="7" t="s">
        <v>104</v>
      </c>
      <c r="H227" s="7"/>
      <c r="I227" s="7"/>
      <c r="J227" s="7" t="s">
        <v>561</v>
      </c>
      <c r="K227" s="7" t="s">
        <v>562</v>
      </c>
      <c r="L227" s="7" t="s">
        <v>81</v>
      </c>
      <c r="M227" s="8" t="str">
        <f t="shared" si="6"/>
        <v>NA</v>
      </c>
      <c r="N227" s="8" t="str">
        <f t="shared" si="7"/>
        <v>Complete</v>
      </c>
    </row>
    <row r="228" spans="1:14" ht="40.5" customHeight="1">
      <c r="A228" s="6">
        <v>227</v>
      </c>
      <c r="B228" s="6" t="s">
        <v>550</v>
      </c>
      <c r="C228" s="6" t="s">
        <v>551</v>
      </c>
      <c r="D228" s="6" t="s">
        <v>107</v>
      </c>
      <c r="E228" s="6" t="s">
        <v>108</v>
      </c>
      <c r="F228" s="7" t="s">
        <v>103</v>
      </c>
      <c r="G228" s="7" t="s">
        <v>104</v>
      </c>
      <c r="H228" s="7"/>
      <c r="I228" s="7"/>
      <c r="J228" s="7" t="s">
        <v>563</v>
      </c>
      <c r="K228" s="7" t="s">
        <v>564</v>
      </c>
      <c r="L228" s="7" t="s">
        <v>81</v>
      </c>
      <c r="M228" s="8" t="str">
        <f t="shared" si="6"/>
        <v>NA</v>
      </c>
      <c r="N228" s="8" t="str">
        <f t="shared" si="7"/>
        <v>Complete</v>
      </c>
    </row>
    <row r="229" spans="1:14" ht="40.5" customHeight="1">
      <c r="A229" s="6">
        <v>228</v>
      </c>
      <c r="B229" s="6" t="s">
        <v>550</v>
      </c>
      <c r="C229" s="6" t="s">
        <v>551</v>
      </c>
      <c r="D229" s="6" t="s">
        <v>112</v>
      </c>
      <c r="E229" s="6" t="s">
        <v>113</v>
      </c>
      <c r="F229" s="7" t="s">
        <v>103</v>
      </c>
      <c r="G229" s="7" t="s">
        <v>114</v>
      </c>
      <c r="H229" s="7"/>
      <c r="I229" s="7"/>
      <c r="J229" s="7" t="s">
        <v>565</v>
      </c>
      <c r="K229" s="7" t="s">
        <v>184</v>
      </c>
      <c r="L229" s="7" t="s">
        <v>132</v>
      </c>
      <c r="M229" s="8" t="str">
        <f t="shared" si="6"/>
        <v>NA</v>
      </c>
      <c r="N229" s="8" t="str">
        <f t="shared" si="7"/>
        <v>Complete</v>
      </c>
    </row>
    <row r="230" spans="1:14" ht="40.5" customHeight="1">
      <c r="A230" s="6">
        <v>229</v>
      </c>
      <c r="B230" s="6" t="s">
        <v>550</v>
      </c>
      <c r="C230" s="6" t="s">
        <v>551</v>
      </c>
      <c r="D230" s="6" t="s">
        <v>117</v>
      </c>
      <c r="E230" s="6" t="s">
        <v>118</v>
      </c>
      <c r="F230" s="7" t="s">
        <v>103</v>
      </c>
      <c r="G230" s="7" t="s">
        <v>104</v>
      </c>
      <c r="H230" s="7"/>
      <c r="I230" s="7"/>
      <c r="J230" s="7" t="s">
        <v>566</v>
      </c>
      <c r="K230" s="7" t="s">
        <v>567</v>
      </c>
      <c r="L230" s="7" t="s">
        <v>81</v>
      </c>
      <c r="M230" s="8" t="str">
        <f t="shared" si="6"/>
        <v>NA</v>
      </c>
      <c r="N230" s="8" t="str">
        <f t="shared" si="7"/>
        <v>Complete</v>
      </c>
    </row>
    <row r="231" spans="1:14" ht="40.5" customHeight="1">
      <c r="A231" s="6">
        <v>230</v>
      </c>
      <c r="B231" s="6" t="s">
        <v>550</v>
      </c>
      <c r="C231" s="6" t="s">
        <v>551</v>
      </c>
      <c r="D231" s="6" t="s">
        <v>122</v>
      </c>
      <c r="E231" s="6" t="s">
        <v>123</v>
      </c>
      <c r="F231" s="7" t="s">
        <v>103</v>
      </c>
      <c r="G231" s="7" t="s">
        <v>104</v>
      </c>
      <c r="H231" s="7"/>
      <c r="I231" s="7"/>
      <c r="J231" s="7" t="s">
        <v>568</v>
      </c>
      <c r="K231" s="7" t="s">
        <v>569</v>
      </c>
      <c r="L231" s="7" t="s">
        <v>81</v>
      </c>
      <c r="M231" s="8" t="str">
        <f t="shared" si="6"/>
        <v>NA</v>
      </c>
      <c r="N231" s="8" t="str">
        <f t="shared" si="7"/>
        <v>Complete</v>
      </c>
    </row>
    <row r="232" spans="1:14" ht="27" customHeight="1">
      <c r="A232" s="6">
        <v>231</v>
      </c>
      <c r="B232" s="6" t="s">
        <v>570</v>
      </c>
      <c r="C232" s="6" t="s">
        <v>571</v>
      </c>
      <c r="D232" s="6" t="s">
        <v>75</v>
      </c>
      <c r="E232" s="6" t="s">
        <v>76</v>
      </c>
      <c r="F232" s="7" t="s">
        <v>77</v>
      </c>
      <c r="G232" s="7"/>
      <c r="H232" s="7" t="s">
        <v>78</v>
      </c>
      <c r="I232" s="7"/>
      <c r="J232" s="7" t="s">
        <v>572</v>
      </c>
      <c r="K232" s="7" t="s">
        <v>573</v>
      </c>
      <c r="L232" s="7" t="s">
        <v>132</v>
      </c>
      <c r="M232" s="8" t="str">
        <f t="shared" si="6"/>
        <v>D</v>
      </c>
      <c r="N232" s="8" t="str">
        <f t="shared" si="7"/>
        <v>Complete</v>
      </c>
    </row>
    <row r="233" spans="1:14" ht="27" customHeight="1">
      <c r="A233" s="6">
        <v>232</v>
      </c>
      <c r="B233" s="6" t="s">
        <v>570</v>
      </c>
      <c r="C233" s="6" t="s">
        <v>571</v>
      </c>
      <c r="D233" s="6" t="s">
        <v>82</v>
      </c>
      <c r="E233" s="6" t="s">
        <v>83</v>
      </c>
      <c r="F233" s="7" t="s">
        <v>77</v>
      </c>
      <c r="G233" s="7"/>
      <c r="H233" s="7" t="s">
        <v>78</v>
      </c>
      <c r="I233" s="7"/>
      <c r="J233" s="7" t="s">
        <v>574</v>
      </c>
      <c r="K233" s="7" t="s">
        <v>575</v>
      </c>
      <c r="L233" s="7" t="s">
        <v>81</v>
      </c>
      <c r="M233" s="8" t="str">
        <f t="shared" si="6"/>
        <v>D</v>
      </c>
      <c r="N233" s="8" t="str">
        <f t="shared" si="7"/>
        <v>Complete</v>
      </c>
    </row>
    <row r="234" spans="1:14" ht="27" customHeight="1">
      <c r="A234" s="6">
        <v>233</v>
      </c>
      <c r="B234" s="6" t="s">
        <v>570</v>
      </c>
      <c r="C234" s="6" t="s">
        <v>571</v>
      </c>
      <c r="D234" s="6" t="s">
        <v>86</v>
      </c>
      <c r="E234" s="6" t="s">
        <v>87</v>
      </c>
      <c r="F234" s="7" t="s">
        <v>77</v>
      </c>
      <c r="G234" s="7"/>
      <c r="H234" s="7" t="s">
        <v>78</v>
      </c>
      <c r="I234" s="7"/>
      <c r="J234" s="7" t="s">
        <v>576</v>
      </c>
      <c r="K234" s="7" t="s">
        <v>577</v>
      </c>
      <c r="L234" s="7" t="s">
        <v>132</v>
      </c>
      <c r="M234" s="8" t="str">
        <f t="shared" si="6"/>
        <v>D</v>
      </c>
      <c r="N234" s="8" t="str">
        <f t="shared" si="7"/>
        <v>Complete</v>
      </c>
    </row>
    <row r="235" spans="1:14" ht="27" customHeight="1">
      <c r="A235" s="6">
        <v>234</v>
      </c>
      <c r="B235" s="6" t="s">
        <v>570</v>
      </c>
      <c r="C235" s="6" t="s">
        <v>571</v>
      </c>
      <c r="D235" s="6" t="s">
        <v>92</v>
      </c>
      <c r="E235" s="6" t="s">
        <v>93</v>
      </c>
      <c r="F235" s="7" t="s">
        <v>77</v>
      </c>
      <c r="G235" s="7"/>
      <c r="H235" s="7" t="s">
        <v>94</v>
      </c>
      <c r="I235" s="7"/>
      <c r="J235" s="7" t="s">
        <v>574</v>
      </c>
      <c r="K235" s="7" t="s">
        <v>578</v>
      </c>
      <c r="L235" s="7" t="s">
        <v>81</v>
      </c>
      <c r="M235" s="8" t="str">
        <f t="shared" si="6"/>
        <v>U</v>
      </c>
      <c r="N235" s="8" t="str">
        <f t="shared" si="7"/>
        <v>Complete</v>
      </c>
    </row>
    <row r="236" spans="1:14" ht="27" customHeight="1">
      <c r="A236" s="6">
        <v>235</v>
      </c>
      <c r="B236" s="6" t="s">
        <v>570</v>
      </c>
      <c r="C236" s="6" t="s">
        <v>571</v>
      </c>
      <c r="D236" s="6" t="s">
        <v>97</v>
      </c>
      <c r="E236" s="6" t="s">
        <v>98</v>
      </c>
      <c r="F236" s="7" t="s">
        <v>77</v>
      </c>
      <c r="G236" s="7"/>
      <c r="H236" s="7" t="s">
        <v>94</v>
      </c>
      <c r="I236" s="7"/>
      <c r="J236" s="7" t="s">
        <v>579</v>
      </c>
      <c r="K236" s="7" t="s">
        <v>580</v>
      </c>
      <c r="L236" s="7" t="s">
        <v>81</v>
      </c>
      <c r="M236" s="8" t="str">
        <f t="shared" si="6"/>
        <v>U</v>
      </c>
      <c r="N236" s="8" t="str">
        <f t="shared" si="7"/>
        <v>Complete</v>
      </c>
    </row>
    <row r="237" spans="1:14" ht="40.5" customHeight="1">
      <c r="A237" s="6">
        <v>236</v>
      </c>
      <c r="B237" s="6" t="s">
        <v>570</v>
      </c>
      <c r="C237" s="6" t="s">
        <v>571</v>
      </c>
      <c r="D237" s="6" t="s">
        <v>101</v>
      </c>
      <c r="E237" s="6" t="s">
        <v>102</v>
      </c>
      <c r="F237" s="7" t="s">
        <v>103</v>
      </c>
      <c r="G237" s="7" t="s">
        <v>104</v>
      </c>
      <c r="H237" s="7"/>
      <c r="I237" s="7"/>
      <c r="J237" s="7" t="s">
        <v>581</v>
      </c>
      <c r="K237" s="7" t="s">
        <v>407</v>
      </c>
      <c r="L237" s="7" t="s">
        <v>81</v>
      </c>
      <c r="M237" s="8" t="str">
        <f t="shared" si="6"/>
        <v>NA</v>
      </c>
      <c r="N237" s="8" t="str">
        <f t="shared" si="7"/>
        <v>Complete</v>
      </c>
    </row>
    <row r="238" spans="1:14" ht="40.5" customHeight="1">
      <c r="A238" s="6">
        <v>237</v>
      </c>
      <c r="B238" s="6" t="s">
        <v>570</v>
      </c>
      <c r="C238" s="6" t="s">
        <v>571</v>
      </c>
      <c r="D238" s="6" t="s">
        <v>107</v>
      </c>
      <c r="E238" s="6" t="s">
        <v>108</v>
      </c>
      <c r="F238" s="7" t="s">
        <v>103</v>
      </c>
      <c r="G238" s="7" t="s">
        <v>104</v>
      </c>
      <c r="H238" s="7"/>
      <c r="I238" s="7"/>
      <c r="J238" s="7" t="s">
        <v>582</v>
      </c>
      <c r="K238" s="7" t="s">
        <v>583</v>
      </c>
      <c r="L238" s="7" t="s">
        <v>81</v>
      </c>
      <c r="M238" s="8" t="str">
        <f t="shared" si="6"/>
        <v>NA</v>
      </c>
      <c r="N238" s="8" t="str">
        <f t="shared" si="7"/>
        <v>Complete</v>
      </c>
    </row>
    <row r="239" spans="1:14" ht="27" customHeight="1">
      <c r="A239" s="6">
        <v>238</v>
      </c>
      <c r="B239" s="6" t="s">
        <v>570</v>
      </c>
      <c r="C239" s="6" t="s">
        <v>571</v>
      </c>
      <c r="D239" s="6" t="s">
        <v>112</v>
      </c>
      <c r="E239" s="6" t="s">
        <v>113</v>
      </c>
      <c r="F239" s="7" t="s">
        <v>77</v>
      </c>
      <c r="G239" s="7"/>
      <c r="H239" s="7" t="s">
        <v>78</v>
      </c>
      <c r="I239" s="7"/>
      <c r="J239" s="7" t="s">
        <v>584</v>
      </c>
      <c r="K239" s="7" t="s">
        <v>585</v>
      </c>
      <c r="L239" s="7" t="s">
        <v>111</v>
      </c>
      <c r="M239" s="8" t="str">
        <f t="shared" si="6"/>
        <v>D</v>
      </c>
      <c r="N239" s="8" t="str">
        <f t="shared" si="7"/>
        <v>Complete</v>
      </c>
    </row>
    <row r="240" spans="1:14" ht="27" customHeight="1">
      <c r="A240" s="6">
        <v>239</v>
      </c>
      <c r="B240" s="6" t="s">
        <v>570</v>
      </c>
      <c r="C240" s="6" t="s">
        <v>571</v>
      </c>
      <c r="D240" s="6" t="s">
        <v>117</v>
      </c>
      <c r="E240" s="6" t="s">
        <v>118</v>
      </c>
      <c r="F240" s="7" t="s">
        <v>103</v>
      </c>
      <c r="G240" s="7" t="s">
        <v>104</v>
      </c>
      <c r="H240" s="7"/>
      <c r="I240" s="7"/>
      <c r="J240" s="7" t="s">
        <v>586</v>
      </c>
      <c r="K240" s="7" t="s">
        <v>587</v>
      </c>
      <c r="L240" s="7" t="s">
        <v>111</v>
      </c>
      <c r="M240" s="8" t="str">
        <f t="shared" si="6"/>
        <v>NA</v>
      </c>
      <c r="N240" s="8" t="str">
        <f t="shared" si="7"/>
        <v>Complete</v>
      </c>
    </row>
    <row r="241" spans="1:14" ht="40.5" customHeight="1">
      <c r="A241" s="6">
        <v>240</v>
      </c>
      <c r="B241" s="6" t="s">
        <v>570</v>
      </c>
      <c r="C241" s="6" t="s">
        <v>571</v>
      </c>
      <c r="D241" s="6" t="s">
        <v>122</v>
      </c>
      <c r="E241" s="6" t="s">
        <v>123</v>
      </c>
      <c r="F241" s="7" t="s">
        <v>103</v>
      </c>
      <c r="G241" s="7" t="s">
        <v>104</v>
      </c>
      <c r="H241" s="7"/>
      <c r="I241" s="7"/>
      <c r="J241" s="7" t="s">
        <v>588</v>
      </c>
      <c r="K241" s="7" t="s">
        <v>168</v>
      </c>
      <c r="L241" s="7" t="s">
        <v>81</v>
      </c>
      <c r="M241" s="8" t="str">
        <f t="shared" si="6"/>
        <v>NA</v>
      </c>
      <c r="N241" s="8" t="str">
        <f t="shared" si="7"/>
        <v>Complete</v>
      </c>
    </row>
    <row r="242" spans="1:14" ht="27" customHeight="1">
      <c r="A242" s="6">
        <v>241</v>
      </c>
      <c r="B242" s="6" t="s">
        <v>589</v>
      </c>
      <c r="C242" s="6" t="s">
        <v>590</v>
      </c>
      <c r="D242" s="6" t="s">
        <v>75</v>
      </c>
      <c r="E242" s="6" t="s">
        <v>76</v>
      </c>
      <c r="F242" s="7" t="s">
        <v>77</v>
      </c>
      <c r="G242" s="7"/>
      <c r="H242" s="7" t="s">
        <v>78</v>
      </c>
      <c r="I242" s="7"/>
      <c r="J242" s="7" t="s">
        <v>591</v>
      </c>
      <c r="K242" s="7" t="s">
        <v>592</v>
      </c>
      <c r="L242" s="7" t="s">
        <v>132</v>
      </c>
      <c r="M242" s="8" t="str">
        <f t="shared" si="6"/>
        <v>D</v>
      </c>
      <c r="N242" s="8" t="str">
        <f t="shared" si="7"/>
        <v>Complete</v>
      </c>
    </row>
    <row r="243" spans="1:14" ht="27" customHeight="1">
      <c r="A243" s="6">
        <v>242</v>
      </c>
      <c r="B243" s="6" t="s">
        <v>589</v>
      </c>
      <c r="C243" s="6" t="s">
        <v>590</v>
      </c>
      <c r="D243" s="6" t="s">
        <v>82</v>
      </c>
      <c r="E243" s="6" t="s">
        <v>83</v>
      </c>
      <c r="F243" s="7" t="s">
        <v>77</v>
      </c>
      <c r="G243" s="7"/>
      <c r="H243" s="7" t="s">
        <v>88</v>
      </c>
      <c r="I243" s="7" t="s">
        <v>89</v>
      </c>
      <c r="J243" s="7" t="s">
        <v>593</v>
      </c>
      <c r="K243" s="7" t="s">
        <v>594</v>
      </c>
      <c r="L243" s="7" t="s">
        <v>81</v>
      </c>
      <c r="M243" s="8" t="str">
        <f t="shared" si="6"/>
        <v>R</v>
      </c>
      <c r="N243" s="8" t="str">
        <f t="shared" si="7"/>
        <v>Complete</v>
      </c>
    </row>
    <row r="244" spans="1:14" ht="27" customHeight="1">
      <c r="A244" s="6">
        <v>243</v>
      </c>
      <c r="B244" s="6" t="s">
        <v>589</v>
      </c>
      <c r="C244" s="6" t="s">
        <v>590</v>
      </c>
      <c r="D244" s="6" t="s">
        <v>86</v>
      </c>
      <c r="E244" s="6" t="s">
        <v>87</v>
      </c>
      <c r="F244" s="7" t="s">
        <v>77</v>
      </c>
      <c r="G244" s="7"/>
      <c r="H244" s="7" t="s">
        <v>94</v>
      </c>
      <c r="I244" s="7"/>
      <c r="J244" s="7" t="s">
        <v>595</v>
      </c>
      <c r="K244" s="7" t="s">
        <v>596</v>
      </c>
      <c r="L244" s="7" t="s">
        <v>111</v>
      </c>
      <c r="M244" s="8" t="str">
        <f t="shared" si="6"/>
        <v>U</v>
      </c>
      <c r="N244" s="8" t="str">
        <f t="shared" si="7"/>
        <v>Complete</v>
      </c>
    </row>
    <row r="245" spans="1:14" ht="27" customHeight="1">
      <c r="A245" s="6">
        <v>244</v>
      </c>
      <c r="B245" s="6" t="s">
        <v>589</v>
      </c>
      <c r="C245" s="6" t="s">
        <v>590</v>
      </c>
      <c r="D245" s="6" t="s">
        <v>92</v>
      </c>
      <c r="E245" s="6" t="s">
        <v>93</v>
      </c>
      <c r="F245" s="7" t="s">
        <v>77</v>
      </c>
      <c r="G245" s="7"/>
      <c r="H245" s="7" t="s">
        <v>94</v>
      </c>
      <c r="I245" s="7"/>
      <c r="J245" s="7" t="s">
        <v>597</v>
      </c>
      <c r="K245" s="7" t="s">
        <v>539</v>
      </c>
      <c r="L245" s="7" t="s">
        <v>81</v>
      </c>
      <c r="M245" s="8" t="str">
        <f t="shared" si="6"/>
        <v>U</v>
      </c>
      <c r="N245" s="8" t="str">
        <f t="shared" si="7"/>
        <v>Complete</v>
      </c>
    </row>
    <row r="246" spans="1:14" ht="40.5" customHeight="1">
      <c r="A246" s="6">
        <v>245</v>
      </c>
      <c r="B246" s="6" t="s">
        <v>589</v>
      </c>
      <c r="C246" s="6" t="s">
        <v>590</v>
      </c>
      <c r="D246" s="6" t="s">
        <v>97</v>
      </c>
      <c r="E246" s="6" t="s">
        <v>98</v>
      </c>
      <c r="F246" s="7" t="s">
        <v>77</v>
      </c>
      <c r="G246" s="7"/>
      <c r="H246" s="7" t="s">
        <v>94</v>
      </c>
      <c r="I246" s="7"/>
      <c r="J246" s="7" t="s">
        <v>598</v>
      </c>
      <c r="K246" s="7" t="s">
        <v>599</v>
      </c>
      <c r="L246" s="7" t="s">
        <v>81</v>
      </c>
      <c r="M246" s="8" t="str">
        <f t="shared" si="6"/>
        <v>U</v>
      </c>
      <c r="N246" s="8" t="str">
        <f t="shared" si="7"/>
        <v>Complete</v>
      </c>
    </row>
    <row r="247" spans="1:14" ht="40.5" customHeight="1">
      <c r="A247" s="6">
        <v>246</v>
      </c>
      <c r="B247" s="6" t="s">
        <v>589</v>
      </c>
      <c r="C247" s="6" t="s">
        <v>590</v>
      </c>
      <c r="D247" s="6" t="s">
        <v>101</v>
      </c>
      <c r="E247" s="6" t="s">
        <v>102</v>
      </c>
      <c r="F247" s="7" t="s">
        <v>103</v>
      </c>
      <c r="G247" s="7" t="s">
        <v>104</v>
      </c>
      <c r="H247" s="7"/>
      <c r="I247" s="7"/>
      <c r="J247" s="7" t="s">
        <v>600</v>
      </c>
      <c r="K247" s="7" t="s">
        <v>601</v>
      </c>
      <c r="L247" s="7" t="s">
        <v>81</v>
      </c>
      <c r="M247" s="8" t="str">
        <f t="shared" si="6"/>
        <v>NA</v>
      </c>
      <c r="N247" s="8" t="str">
        <f t="shared" si="7"/>
        <v>Complete</v>
      </c>
    </row>
    <row r="248" spans="1:14" ht="40.5" customHeight="1">
      <c r="A248" s="6">
        <v>247</v>
      </c>
      <c r="B248" s="6" t="s">
        <v>589</v>
      </c>
      <c r="C248" s="6" t="s">
        <v>590</v>
      </c>
      <c r="D248" s="6" t="s">
        <v>107</v>
      </c>
      <c r="E248" s="6" t="s">
        <v>108</v>
      </c>
      <c r="F248" s="7" t="s">
        <v>103</v>
      </c>
      <c r="G248" s="7" t="s">
        <v>104</v>
      </c>
      <c r="H248" s="7"/>
      <c r="I248" s="7"/>
      <c r="J248" s="7" t="s">
        <v>602</v>
      </c>
      <c r="K248" s="7" t="s">
        <v>505</v>
      </c>
      <c r="L248" s="7" t="s">
        <v>81</v>
      </c>
      <c r="M248" s="8" t="str">
        <f t="shared" si="6"/>
        <v>NA</v>
      </c>
      <c r="N248" s="8" t="str">
        <f t="shared" si="7"/>
        <v>Complete</v>
      </c>
    </row>
    <row r="249" spans="1:14" ht="40.5" customHeight="1">
      <c r="A249" s="6">
        <v>248</v>
      </c>
      <c r="B249" s="6" t="s">
        <v>589</v>
      </c>
      <c r="C249" s="6" t="s">
        <v>590</v>
      </c>
      <c r="D249" s="6" t="s">
        <v>112</v>
      </c>
      <c r="E249" s="6" t="s">
        <v>113</v>
      </c>
      <c r="F249" s="7" t="s">
        <v>103</v>
      </c>
      <c r="G249" s="7" t="s">
        <v>114</v>
      </c>
      <c r="H249" s="7"/>
      <c r="I249" s="7"/>
      <c r="J249" s="7" t="s">
        <v>603</v>
      </c>
      <c r="K249" s="7" t="s">
        <v>184</v>
      </c>
      <c r="L249" s="7" t="s">
        <v>132</v>
      </c>
      <c r="M249" s="8" t="str">
        <f t="shared" si="6"/>
        <v>NA</v>
      </c>
      <c r="N249" s="8" t="str">
        <f t="shared" si="7"/>
        <v>Complete</v>
      </c>
    </row>
    <row r="250" spans="1:14" ht="40.5" customHeight="1">
      <c r="A250" s="6">
        <v>249</v>
      </c>
      <c r="B250" s="6" t="s">
        <v>589</v>
      </c>
      <c r="C250" s="6" t="s">
        <v>590</v>
      </c>
      <c r="D250" s="6" t="s">
        <v>117</v>
      </c>
      <c r="E250" s="6" t="s">
        <v>118</v>
      </c>
      <c r="F250" s="7" t="s">
        <v>103</v>
      </c>
      <c r="G250" s="7" t="s">
        <v>104</v>
      </c>
      <c r="H250" s="7"/>
      <c r="I250" s="7"/>
      <c r="J250" s="7" t="s">
        <v>604</v>
      </c>
      <c r="K250" s="7" t="s">
        <v>547</v>
      </c>
      <c r="L250" s="7" t="s">
        <v>81</v>
      </c>
      <c r="M250" s="8" t="str">
        <f t="shared" si="6"/>
        <v>NA</v>
      </c>
      <c r="N250" s="8" t="str">
        <f t="shared" si="7"/>
        <v>Complete</v>
      </c>
    </row>
    <row r="251" spans="1:14" ht="40.5" customHeight="1">
      <c r="A251" s="6">
        <v>250</v>
      </c>
      <c r="B251" s="6" t="s">
        <v>589</v>
      </c>
      <c r="C251" s="6" t="s">
        <v>590</v>
      </c>
      <c r="D251" s="6" t="s">
        <v>122</v>
      </c>
      <c r="E251" s="6" t="s">
        <v>123</v>
      </c>
      <c r="F251" s="7" t="s">
        <v>103</v>
      </c>
      <c r="G251" s="7" t="s">
        <v>104</v>
      </c>
      <c r="H251" s="7"/>
      <c r="I251" s="7"/>
      <c r="J251" s="7" t="s">
        <v>605</v>
      </c>
      <c r="K251" s="7" t="s">
        <v>606</v>
      </c>
      <c r="L251" s="7" t="s">
        <v>81</v>
      </c>
      <c r="M251" s="8" t="str">
        <f t="shared" si="6"/>
        <v>NA</v>
      </c>
      <c r="N251" s="8" t="str">
        <f t="shared" si="7"/>
        <v>Complete</v>
      </c>
    </row>
    <row r="252" spans="1:14" ht="40.5" customHeight="1">
      <c r="A252" s="6">
        <v>251</v>
      </c>
      <c r="B252" s="6" t="s">
        <v>607</v>
      </c>
      <c r="C252" s="6" t="s">
        <v>608</v>
      </c>
      <c r="D252" s="6" t="s">
        <v>75</v>
      </c>
      <c r="E252" s="6" t="s">
        <v>76</v>
      </c>
      <c r="F252" s="7" t="s">
        <v>77</v>
      </c>
      <c r="G252" s="7"/>
      <c r="H252" s="7" t="s">
        <v>78</v>
      </c>
      <c r="I252" s="7"/>
      <c r="J252" s="7" t="s">
        <v>609</v>
      </c>
      <c r="K252" s="7" t="s">
        <v>610</v>
      </c>
      <c r="L252" s="7" t="s">
        <v>81</v>
      </c>
      <c r="M252" s="8" t="str">
        <f t="shared" si="6"/>
        <v>D</v>
      </c>
      <c r="N252" s="8" t="str">
        <f t="shared" si="7"/>
        <v>Complete</v>
      </c>
    </row>
    <row r="253" spans="1:14" ht="27" customHeight="1">
      <c r="A253" s="6">
        <v>252</v>
      </c>
      <c r="B253" s="6" t="s">
        <v>607</v>
      </c>
      <c r="C253" s="6" t="s">
        <v>608</v>
      </c>
      <c r="D253" s="6" t="s">
        <v>82</v>
      </c>
      <c r="E253" s="6" t="s">
        <v>83</v>
      </c>
      <c r="F253" s="7" t="s">
        <v>77</v>
      </c>
      <c r="G253" s="7"/>
      <c r="H253" s="7" t="s">
        <v>78</v>
      </c>
      <c r="I253" s="7"/>
      <c r="J253" s="7" t="s">
        <v>611</v>
      </c>
      <c r="K253" s="7" t="s">
        <v>612</v>
      </c>
      <c r="L253" s="7" t="s">
        <v>81</v>
      </c>
      <c r="M253" s="8" t="str">
        <f t="shared" si="6"/>
        <v>D</v>
      </c>
      <c r="N253" s="8" t="str">
        <f t="shared" si="7"/>
        <v>Complete</v>
      </c>
    </row>
    <row r="254" spans="1:14" ht="27" customHeight="1">
      <c r="A254" s="6">
        <v>253</v>
      </c>
      <c r="B254" s="6" t="s">
        <v>607</v>
      </c>
      <c r="C254" s="6" t="s">
        <v>608</v>
      </c>
      <c r="D254" s="6" t="s">
        <v>86</v>
      </c>
      <c r="E254" s="6" t="s">
        <v>87</v>
      </c>
      <c r="F254" s="7" t="s">
        <v>77</v>
      </c>
      <c r="G254" s="7"/>
      <c r="H254" s="7" t="s">
        <v>94</v>
      </c>
      <c r="I254" s="7"/>
      <c r="J254" s="7" t="s">
        <v>613</v>
      </c>
      <c r="K254" s="7" t="s">
        <v>614</v>
      </c>
      <c r="L254" s="7" t="s">
        <v>81</v>
      </c>
      <c r="M254" s="8" t="str">
        <f t="shared" si="6"/>
        <v>U</v>
      </c>
      <c r="N254" s="8" t="str">
        <f t="shared" si="7"/>
        <v>Complete</v>
      </c>
    </row>
    <row r="255" spans="1:14" ht="27" customHeight="1">
      <c r="A255" s="6">
        <v>254</v>
      </c>
      <c r="B255" s="6" t="s">
        <v>607</v>
      </c>
      <c r="C255" s="6" t="s">
        <v>608</v>
      </c>
      <c r="D255" s="6" t="s">
        <v>92</v>
      </c>
      <c r="E255" s="6" t="s">
        <v>93</v>
      </c>
      <c r="F255" s="7" t="s">
        <v>77</v>
      </c>
      <c r="G255" s="7"/>
      <c r="H255" s="7" t="s">
        <v>94</v>
      </c>
      <c r="I255" s="7"/>
      <c r="J255" s="7" t="s">
        <v>615</v>
      </c>
      <c r="K255" s="7" t="s">
        <v>616</v>
      </c>
      <c r="L255" s="7" t="s">
        <v>81</v>
      </c>
      <c r="M255" s="8" t="str">
        <f t="shared" si="6"/>
        <v>U</v>
      </c>
      <c r="N255" s="8" t="str">
        <f t="shared" si="7"/>
        <v>Complete</v>
      </c>
    </row>
    <row r="256" spans="1:14" ht="27" customHeight="1">
      <c r="A256" s="6">
        <v>255</v>
      </c>
      <c r="B256" s="6" t="s">
        <v>607</v>
      </c>
      <c r="C256" s="6" t="s">
        <v>608</v>
      </c>
      <c r="D256" s="6" t="s">
        <v>97</v>
      </c>
      <c r="E256" s="6" t="s">
        <v>98</v>
      </c>
      <c r="F256" s="7" t="s">
        <v>77</v>
      </c>
      <c r="G256" s="7"/>
      <c r="H256" s="7" t="s">
        <v>94</v>
      </c>
      <c r="I256" s="7"/>
      <c r="J256" s="7" t="s">
        <v>617</v>
      </c>
      <c r="K256" s="7" t="s">
        <v>618</v>
      </c>
      <c r="L256" s="7" t="s">
        <v>81</v>
      </c>
      <c r="M256" s="8" t="str">
        <f t="shared" si="6"/>
        <v>U</v>
      </c>
      <c r="N256" s="8" t="str">
        <f t="shared" si="7"/>
        <v>Complete</v>
      </c>
    </row>
    <row r="257" spans="1:14" ht="40.5" customHeight="1">
      <c r="A257" s="6">
        <v>256</v>
      </c>
      <c r="B257" s="6" t="s">
        <v>607</v>
      </c>
      <c r="C257" s="6" t="s">
        <v>608</v>
      </c>
      <c r="D257" s="6" t="s">
        <v>101</v>
      </c>
      <c r="E257" s="6" t="s">
        <v>102</v>
      </c>
      <c r="F257" s="7" t="s">
        <v>103</v>
      </c>
      <c r="G257" s="7" t="s">
        <v>104</v>
      </c>
      <c r="H257" s="7"/>
      <c r="I257" s="7"/>
      <c r="J257" s="7" t="s">
        <v>619</v>
      </c>
      <c r="K257" s="7" t="s">
        <v>620</v>
      </c>
      <c r="L257" s="7" t="s">
        <v>81</v>
      </c>
      <c r="M257" s="8" t="str">
        <f t="shared" si="6"/>
        <v>NA</v>
      </c>
      <c r="N257" s="8" t="str">
        <f t="shared" si="7"/>
        <v>Complete</v>
      </c>
    </row>
    <row r="258" spans="1:14" ht="40.5" customHeight="1">
      <c r="A258" s="6">
        <v>257</v>
      </c>
      <c r="B258" s="6" t="s">
        <v>607</v>
      </c>
      <c r="C258" s="6" t="s">
        <v>608</v>
      </c>
      <c r="D258" s="6" t="s">
        <v>107</v>
      </c>
      <c r="E258" s="6" t="s">
        <v>108</v>
      </c>
      <c r="F258" s="7" t="s">
        <v>103</v>
      </c>
      <c r="G258" s="7" t="s">
        <v>104</v>
      </c>
      <c r="H258" s="7"/>
      <c r="I258" s="7"/>
      <c r="J258" s="7" t="s">
        <v>621</v>
      </c>
      <c r="K258" s="7" t="s">
        <v>505</v>
      </c>
      <c r="L258" s="7" t="s">
        <v>81</v>
      </c>
      <c r="M258" s="8" t="str">
        <f t="shared" ref="M258:M321" si="8">IF(F258="Not applicable","NA",IF(F258="Applicable",IF(H258="","",H258),""))</f>
        <v>NA</v>
      </c>
      <c r="N258" s="8" t="str">
        <f t="shared" ref="N258:N321" si="9">IF(F258="","Applicability missing",IF(AND(F258="Applicable",H258=""),"Record status missing",IF(AND(F258="Applicable",G258&lt;&gt;""),"Boundary strength must be blank for applicable rows",IF(AND(F258="Not applicable",G258=""),"Boundary strength missing",IF(AND(F258="Not applicable",H258&lt;&gt;""),"Record status must be blank for not-applicable rows",IF(AND(H258="R",I258=""),"Recovery stability missing",IF(J258="","Evidence location missing","Complete")))))))</f>
        <v>Complete</v>
      </c>
    </row>
    <row r="259" spans="1:14" ht="40.5" customHeight="1">
      <c r="A259" s="6">
        <v>258</v>
      </c>
      <c r="B259" s="6" t="s">
        <v>607</v>
      </c>
      <c r="C259" s="6" t="s">
        <v>608</v>
      </c>
      <c r="D259" s="6" t="s">
        <v>112</v>
      </c>
      <c r="E259" s="6" t="s">
        <v>113</v>
      </c>
      <c r="F259" s="7" t="s">
        <v>103</v>
      </c>
      <c r="G259" s="7" t="s">
        <v>114</v>
      </c>
      <c r="H259" s="7"/>
      <c r="I259" s="7"/>
      <c r="J259" s="7" t="s">
        <v>622</v>
      </c>
      <c r="K259" s="7" t="s">
        <v>184</v>
      </c>
      <c r="L259" s="7" t="s">
        <v>132</v>
      </c>
      <c r="M259" s="8" t="str">
        <f t="shared" si="8"/>
        <v>NA</v>
      </c>
      <c r="N259" s="8" t="str">
        <f t="shared" si="9"/>
        <v>Complete</v>
      </c>
    </row>
    <row r="260" spans="1:14" ht="40.5" customHeight="1">
      <c r="A260" s="6">
        <v>259</v>
      </c>
      <c r="B260" s="6" t="s">
        <v>607</v>
      </c>
      <c r="C260" s="6" t="s">
        <v>608</v>
      </c>
      <c r="D260" s="6" t="s">
        <v>117</v>
      </c>
      <c r="E260" s="6" t="s">
        <v>118</v>
      </c>
      <c r="F260" s="7" t="s">
        <v>103</v>
      </c>
      <c r="G260" s="7" t="s">
        <v>104</v>
      </c>
      <c r="H260" s="7"/>
      <c r="I260" s="7"/>
      <c r="J260" s="7" t="s">
        <v>623</v>
      </c>
      <c r="K260" s="7" t="s">
        <v>624</v>
      </c>
      <c r="L260" s="7" t="s">
        <v>81</v>
      </c>
      <c r="M260" s="8" t="str">
        <f t="shared" si="8"/>
        <v>NA</v>
      </c>
      <c r="N260" s="8" t="str">
        <f t="shared" si="9"/>
        <v>Complete</v>
      </c>
    </row>
    <row r="261" spans="1:14" ht="40.5" customHeight="1">
      <c r="A261" s="6">
        <v>260</v>
      </c>
      <c r="B261" s="6" t="s">
        <v>607</v>
      </c>
      <c r="C261" s="6" t="s">
        <v>608</v>
      </c>
      <c r="D261" s="6" t="s">
        <v>122</v>
      </c>
      <c r="E261" s="6" t="s">
        <v>123</v>
      </c>
      <c r="F261" s="7" t="s">
        <v>103</v>
      </c>
      <c r="G261" s="7" t="s">
        <v>104</v>
      </c>
      <c r="H261" s="7"/>
      <c r="I261" s="7"/>
      <c r="J261" s="7" t="s">
        <v>625</v>
      </c>
      <c r="K261" s="7" t="s">
        <v>168</v>
      </c>
      <c r="L261" s="7" t="s">
        <v>81</v>
      </c>
      <c r="M261" s="8" t="str">
        <f t="shared" si="8"/>
        <v>NA</v>
      </c>
      <c r="N261" s="8" t="str">
        <f t="shared" si="9"/>
        <v>Complete</v>
      </c>
    </row>
    <row r="262" spans="1:14" ht="27" customHeight="1">
      <c r="A262" s="6">
        <v>261</v>
      </c>
      <c r="B262" s="6" t="s">
        <v>626</v>
      </c>
      <c r="C262" s="6" t="s">
        <v>627</v>
      </c>
      <c r="D262" s="6" t="s">
        <v>75</v>
      </c>
      <c r="E262" s="6" t="s">
        <v>76</v>
      </c>
      <c r="F262" s="7" t="s">
        <v>77</v>
      </c>
      <c r="G262" s="7"/>
      <c r="H262" s="7" t="s">
        <v>78</v>
      </c>
      <c r="I262" s="7"/>
      <c r="J262" s="7" t="s">
        <v>628</v>
      </c>
      <c r="K262" s="7" t="s">
        <v>629</v>
      </c>
      <c r="L262" s="7" t="s">
        <v>111</v>
      </c>
      <c r="M262" s="8" t="str">
        <f t="shared" si="8"/>
        <v>D</v>
      </c>
      <c r="N262" s="8" t="str">
        <f t="shared" si="9"/>
        <v>Complete</v>
      </c>
    </row>
    <row r="263" spans="1:14" ht="27" customHeight="1">
      <c r="A263" s="6">
        <v>262</v>
      </c>
      <c r="B263" s="6" t="s">
        <v>626</v>
      </c>
      <c r="C263" s="6" t="s">
        <v>627</v>
      </c>
      <c r="D263" s="6" t="s">
        <v>82</v>
      </c>
      <c r="E263" s="6" t="s">
        <v>83</v>
      </c>
      <c r="F263" s="7" t="s">
        <v>77</v>
      </c>
      <c r="G263" s="7"/>
      <c r="H263" s="7" t="s">
        <v>88</v>
      </c>
      <c r="I263" s="7" t="s">
        <v>89</v>
      </c>
      <c r="J263" s="7" t="s">
        <v>630</v>
      </c>
      <c r="K263" s="7" t="s">
        <v>631</v>
      </c>
      <c r="L263" s="7" t="s">
        <v>81</v>
      </c>
      <c r="M263" s="8" t="str">
        <f t="shared" si="8"/>
        <v>R</v>
      </c>
      <c r="N263" s="8" t="str">
        <f t="shared" si="9"/>
        <v>Complete</v>
      </c>
    </row>
    <row r="264" spans="1:14" ht="27" customHeight="1">
      <c r="A264" s="6">
        <v>263</v>
      </c>
      <c r="B264" s="6" t="s">
        <v>626</v>
      </c>
      <c r="C264" s="6" t="s">
        <v>627</v>
      </c>
      <c r="D264" s="6" t="s">
        <v>86</v>
      </c>
      <c r="E264" s="6" t="s">
        <v>87</v>
      </c>
      <c r="F264" s="7" t="s">
        <v>77</v>
      </c>
      <c r="G264" s="7"/>
      <c r="H264" s="7" t="s">
        <v>94</v>
      </c>
      <c r="I264" s="7"/>
      <c r="J264" s="7" t="s">
        <v>632</v>
      </c>
      <c r="K264" s="7" t="s">
        <v>633</v>
      </c>
      <c r="L264" s="7" t="s">
        <v>111</v>
      </c>
      <c r="M264" s="8" t="str">
        <f t="shared" si="8"/>
        <v>U</v>
      </c>
      <c r="N264" s="8" t="str">
        <f t="shared" si="9"/>
        <v>Complete</v>
      </c>
    </row>
    <row r="265" spans="1:14" ht="27" customHeight="1">
      <c r="A265" s="6">
        <v>264</v>
      </c>
      <c r="B265" s="6" t="s">
        <v>626</v>
      </c>
      <c r="C265" s="6" t="s">
        <v>627</v>
      </c>
      <c r="D265" s="6" t="s">
        <v>92</v>
      </c>
      <c r="E265" s="6" t="s">
        <v>93</v>
      </c>
      <c r="F265" s="7" t="s">
        <v>77</v>
      </c>
      <c r="G265" s="7"/>
      <c r="H265" s="7" t="s">
        <v>94</v>
      </c>
      <c r="I265" s="7"/>
      <c r="J265" s="7" t="s">
        <v>634</v>
      </c>
      <c r="K265" s="7" t="s">
        <v>635</v>
      </c>
      <c r="L265" s="7" t="s">
        <v>81</v>
      </c>
      <c r="M265" s="8" t="str">
        <f t="shared" si="8"/>
        <v>U</v>
      </c>
      <c r="N265" s="8" t="str">
        <f t="shared" si="9"/>
        <v>Complete</v>
      </c>
    </row>
    <row r="266" spans="1:14" ht="27" customHeight="1">
      <c r="A266" s="6">
        <v>265</v>
      </c>
      <c r="B266" s="6" t="s">
        <v>626</v>
      </c>
      <c r="C266" s="6" t="s">
        <v>627</v>
      </c>
      <c r="D266" s="6" t="s">
        <v>97</v>
      </c>
      <c r="E266" s="6" t="s">
        <v>98</v>
      </c>
      <c r="F266" s="7" t="s">
        <v>77</v>
      </c>
      <c r="G266" s="7"/>
      <c r="H266" s="7" t="s">
        <v>94</v>
      </c>
      <c r="I266" s="7"/>
      <c r="J266" s="7" t="s">
        <v>636</v>
      </c>
      <c r="K266" s="7" t="s">
        <v>637</v>
      </c>
      <c r="L266" s="7" t="s">
        <v>81</v>
      </c>
      <c r="M266" s="8" t="str">
        <f t="shared" si="8"/>
        <v>U</v>
      </c>
      <c r="N266" s="8" t="str">
        <f t="shared" si="9"/>
        <v>Complete</v>
      </c>
    </row>
    <row r="267" spans="1:14" ht="27" customHeight="1">
      <c r="A267" s="6">
        <v>266</v>
      </c>
      <c r="B267" s="6" t="s">
        <v>626</v>
      </c>
      <c r="C267" s="6" t="s">
        <v>627</v>
      </c>
      <c r="D267" s="6" t="s">
        <v>101</v>
      </c>
      <c r="E267" s="6" t="s">
        <v>102</v>
      </c>
      <c r="F267" s="7" t="s">
        <v>77</v>
      </c>
      <c r="G267" s="7"/>
      <c r="H267" s="7" t="s">
        <v>94</v>
      </c>
      <c r="I267" s="7"/>
      <c r="J267" s="7" t="s">
        <v>638</v>
      </c>
      <c r="K267" s="7" t="s">
        <v>639</v>
      </c>
      <c r="L267" s="7" t="s">
        <v>81</v>
      </c>
      <c r="M267" s="8" t="str">
        <f t="shared" si="8"/>
        <v>U</v>
      </c>
      <c r="N267" s="8" t="str">
        <f t="shared" si="9"/>
        <v>Complete</v>
      </c>
    </row>
    <row r="268" spans="1:14" ht="40.5" customHeight="1">
      <c r="A268" s="6">
        <v>267</v>
      </c>
      <c r="B268" s="6" t="s">
        <v>626</v>
      </c>
      <c r="C268" s="6" t="s">
        <v>627</v>
      </c>
      <c r="D268" s="6" t="s">
        <v>107</v>
      </c>
      <c r="E268" s="6" t="s">
        <v>108</v>
      </c>
      <c r="F268" s="7" t="s">
        <v>103</v>
      </c>
      <c r="G268" s="7" t="s">
        <v>104</v>
      </c>
      <c r="H268" s="7"/>
      <c r="I268" s="7"/>
      <c r="J268" s="7" t="s">
        <v>640</v>
      </c>
      <c r="K268" s="7" t="s">
        <v>641</v>
      </c>
      <c r="L268" s="7" t="s">
        <v>81</v>
      </c>
      <c r="M268" s="8" t="str">
        <f t="shared" si="8"/>
        <v>NA</v>
      </c>
      <c r="N268" s="8" t="str">
        <f t="shared" si="9"/>
        <v>Complete</v>
      </c>
    </row>
    <row r="269" spans="1:14" ht="40.5" customHeight="1">
      <c r="A269" s="6">
        <v>268</v>
      </c>
      <c r="B269" s="6" t="s">
        <v>626</v>
      </c>
      <c r="C269" s="6" t="s">
        <v>627</v>
      </c>
      <c r="D269" s="6" t="s">
        <v>112</v>
      </c>
      <c r="E269" s="6" t="s">
        <v>113</v>
      </c>
      <c r="F269" s="7" t="s">
        <v>103</v>
      </c>
      <c r="G269" s="7" t="s">
        <v>114</v>
      </c>
      <c r="H269" s="7"/>
      <c r="I269" s="7"/>
      <c r="J269" s="7" t="s">
        <v>640</v>
      </c>
      <c r="K269" s="7" t="s">
        <v>642</v>
      </c>
      <c r="L269" s="7" t="s">
        <v>81</v>
      </c>
      <c r="M269" s="8" t="str">
        <f t="shared" si="8"/>
        <v>NA</v>
      </c>
      <c r="N269" s="8" t="str">
        <f t="shared" si="9"/>
        <v>Complete</v>
      </c>
    </row>
    <row r="270" spans="1:14" ht="40.5" customHeight="1">
      <c r="A270" s="6">
        <v>269</v>
      </c>
      <c r="B270" s="6" t="s">
        <v>626</v>
      </c>
      <c r="C270" s="6" t="s">
        <v>627</v>
      </c>
      <c r="D270" s="6" t="s">
        <v>117</v>
      </c>
      <c r="E270" s="6" t="s">
        <v>118</v>
      </c>
      <c r="F270" s="7" t="s">
        <v>103</v>
      </c>
      <c r="G270" s="7" t="s">
        <v>104</v>
      </c>
      <c r="H270" s="7"/>
      <c r="I270" s="7"/>
      <c r="J270" s="7" t="s">
        <v>643</v>
      </c>
      <c r="K270" s="7" t="s">
        <v>644</v>
      </c>
      <c r="L270" s="7" t="s">
        <v>81</v>
      </c>
      <c r="M270" s="8" t="str">
        <f t="shared" si="8"/>
        <v>NA</v>
      </c>
      <c r="N270" s="8" t="str">
        <f t="shared" si="9"/>
        <v>Complete</v>
      </c>
    </row>
    <row r="271" spans="1:14" ht="40.5" customHeight="1">
      <c r="A271" s="6">
        <v>270</v>
      </c>
      <c r="B271" s="6" t="s">
        <v>626</v>
      </c>
      <c r="C271" s="6" t="s">
        <v>627</v>
      </c>
      <c r="D271" s="6" t="s">
        <v>122</v>
      </c>
      <c r="E271" s="6" t="s">
        <v>123</v>
      </c>
      <c r="F271" s="7" t="s">
        <v>103</v>
      </c>
      <c r="G271" s="7" t="s">
        <v>104</v>
      </c>
      <c r="H271" s="7"/>
      <c r="I271" s="7"/>
      <c r="J271" s="7" t="s">
        <v>645</v>
      </c>
      <c r="K271" s="7" t="s">
        <v>168</v>
      </c>
      <c r="L271" s="7" t="s">
        <v>81</v>
      </c>
      <c r="M271" s="8" t="str">
        <f t="shared" si="8"/>
        <v>NA</v>
      </c>
      <c r="N271" s="8" t="str">
        <f t="shared" si="9"/>
        <v>Complete</v>
      </c>
    </row>
    <row r="272" spans="1:14" ht="27" customHeight="1">
      <c r="A272" s="6">
        <v>271</v>
      </c>
      <c r="B272" s="6" t="s">
        <v>646</v>
      </c>
      <c r="C272" s="6" t="s">
        <v>647</v>
      </c>
      <c r="D272" s="6" t="s">
        <v>75</v>
      </c>
      <c r="E272" s="6" t="s">
        <v>76</v>
      </c>
      <c r="F272" s="7" t="s">
        <v>77</v>
      </c>
      <c r="G272" s="7"/>
      <c r="H272" s="7" t="s">
        <v>78</v>
      </c>
      <c r="I272" s="7"/>
      <c r="J272" s="7" t="s">
        <v>648</v>
      </c>
      <c r="K272" s="7" t="s">
        <v>649</v>
      </c>
      <c r="L272" s="7" t="s">
        <v>132</v>
      </c>
      <c r="M272" s="8" t="str">
        <f t="shared" si="8"/>
        <v>D</v>
      </c>
      <c r="N272" s="8" t="str">
        <f t="shared" si="9"/>
        <v>Complete</v>
      </c>
    </row>
    <row r="273" spans="1:14" ht="27" customHeight="1">
      <c r="A273" s="6">
        <v>272</v>
      </c>
      <c r="B273" s="6" t="s">
        <v>646</v>
      </c>
      <c r="C273" s="6" t="s">
        <v>647</v>
      </c>
      <c r="D273" s="6" t="s">
        <v>82</v>
      </c>
      <c r="E273" s="6" t="s">
        <v>83</v>
      </c>
      <c r="F273" s="7" t="s">
        <v>77</v>
      </c>
      <c r="G273" s="7"/>
      <c r="H273" s="7" t="s">
        <v>78</v>
      </c>
      <c r="I273" s="7"/>
      <c r="J273" s="7" t="s">
        <v>650</v>
      </c>
      <c r="K273" s="7" t="s">
        <v>651</v>
      </c>
      <c r="L273" s="7" t="s">
        <v>81</v>
      </c>
      <c r="M273" s="8" t="str">
        <f t="shared" si="8"/>
        <v>D</v>
      </c>
      <c r="N273" s="8" t="str">
        <f t="shared" si="9"/>
        <v>Complete</v>
      </c>
    </row>
    <row r="274" spans="1:14" ht="40.5" customHeight="1">
      <c r="A274" s="6">
        <v>273</v>
      </c>
      <c r="B274" s="6" t="s">
        <v>646</v>
      </c>
      <c r="C274" s="6" t="s">
        <v>647</v>
      </c>
      <c r="D274" s="6" t="s">
        <v>86</v>
      </c>
      <c r="E274" s="6" t="s">
        <v>87</v>
      </c>
      <c r="F274" s="7" t="s">
        <v>77</v>
      </c>
      <c r="G274" s="7"/>
      <c r="H274" s="7" t="s">
        <v>78</v>
      </c>
      <c r="I274" s="7"/>
      <c r="J274" s="7" t="s">
        <v>652</v>
      </c>
      <c r="K274" s="7" t="s">
        <v>653</v>
      </c>
      <c r="L274" s="7" t="s">
        <v>81</v>
      </c>
      <c r="M274" s="8" t="str">
        <f t="shared" si="8"/>
        <v>D</v>
      </c>
      <c r="N274" s="8" t="str">
        <f t="shared" si="9"/>
        <v>Complete</v>
      </c>
    </row>
    <row r="275" spans="1:14" ht="27" customHeight="1">
      <c r="A275" s="6">
        <v>274</v>
      </c>
      <c r="B275" s="6" t="s">
        <v>646</v>
      </c>
      <c r="C275" s="6" t="s">
        <v>647</v>
      </c>
      <c r="D275" s="6" t="s">
        <v>92</v>
      </c>
      <c r="E275" s="6" t="s">
        <v>93</v>
      </c>
      <c r="F275" s="7" t="s">
        <v>77</v>
      </c>
      <c r="G275" s="7"/>
      <c r="H275" s="7" t="s">
        <v>94</v>
      </c>
      <c r="I275" s="7"/>
      <c r="J275" s="7" t="s">
        <v>654</v>
      </c>
      <c r="K275" s="7" t="s">
        <v>655</v>
      </c>
      <c r="L275" s="7" t="s">
        <v>81</v>
      </c>
      <c r="M275" s="8" t="str">
        <f t="shared" si="8"/>
        <v>U</v>
      </c>
      <c r="N275" s="8" t="str">
        <f t="shared" si="9"/>
        <v>Complete</v>
      </c>
    </row>
    <row r="276" spans="1:14" ht="27" customHeight="1">
      <c r="A276" s="6">
        <v>275</v>
      </c>
      <c r="B276" s="6" t="s">
        <v>646</v>
      </c>
      <c r="C276" s="6" t="s">
        <v>647</v>
      </c>
      <c r="D276" s="6" t="s">
        <v>97</v>
      </c>
      <c r="E276" s="6" t="s">
        <v>98</v>
      </c>
      <c r="F276" s="7" t="s">
        <v>77</v>
      </c>
      <c r="G276" s="7"/>
      <c r="H276" s="7" t="s">
        <v>94</v>
      </c>
      <c r="I276" s="7"/>
      <c r="J276" s="7" t="s">
        <v>656</v>
      </c>
      <c r="K276" s="7" t="s">
        <v>657</v>
      </c>
      <c r="L276" s="7" t="s">
        <v>81</v>
      </c>
      <c r="M276" s="8" t="str">
        <f t="shared" si="8"/>
        <v>U</v>
      </c>
      <c r="N276" s="8" t="str">
        <f t="shared" si="9"/>
        <v>Complete</v>
      </c>
    </row>
    <row r="277" spans="1:14" ht="40.5" customHeight="1">
      <c r="A277" s="6">
        <v>276</v>
      </c>
      <c r="B277" s="6" t="s">
        <v>646</v>
      </c>
      <c r="C277" s="6" t="s">
        <v>647</v>
      </c>
      <c r="D277" s="6" t="s">
        <v>101</v>
      </c>
      <c r="E277" s="6" t="s">
        <v>102</v>
      </c>
      <c r="F277" s="7" t="s">
        <v>103</v>
      </c>
      <c r="G277" s="7" t="s">
        <v>104</v>
      </c>
      <c r="H277" s="7"/>
      <c r="I277" s="7"/>
      <c r="J277" s="7" t="s">
        <v>658</v>
      </c>
      <c r="K277" s="7" t="s">
        <v>659</v>
      </c>
      <c r="L277" s="7" t="s">
        <v>81</v>
      </c>
      <c r="M277" s="8" t="str">
        <f t="shared" si="8"/>
        <v>NA</v>
      </c>
      <c r="N277" s="8" t="str">
        <f t="shared" si="9"/>
        <v>Complete</v>
      </c>
    </row>
    <row r="278" spans="1:14" ht="40.5" customHeight="1">
      <c r="A278" s="6">
        <v>277</v>
      </c>
      <c r="B278" s="6" t="s">
        <v>646</v>
      </c>
      <c r="C278" s="6" t="s">
        <v>647</v>
      </c>
      <c r="D278" s="6" t="s">
        <v>107</v>
      </c>
      <c r="E278" s="6" t="s">
        <v>108</v>
      </c>
      <c r="F278" s="7" t="s">
        <v>103</v>
      </c>
      <c r="G278" s="7" t="s">
        <v>104</v>
      </c>
      <c r="H278" s="7"/>
      <c r="I278" s="7"/>
      <c r="J278" s="7" t="s">
        <v>660</v>
      </c>
      <c r="K278" s="7" t="s">
        <v>544</v>
      </c>
      <c r="L278" s="7" t="s">
        <v>81</v>
      </c>
      <c r="M278" s="8" t="str">
        <f t="shared" si="8"/>
        <v>NA</v>
      </c>
      <c r="N278" s="8" t="str">
        <f t="shared" si="9"/>
        <v>Complete</v>
      </c>
    </row>
    <row r="279" spans="1:14" ht="40.5" customHeight="1">
      <c r="A279" s="6">
        <v>278</v>
      </c>
      <c r="B279" s="6" t="s">
        <v>646</v>
      </c>
      <c r="C279" s="6" t="s">
        <v>647</v>
      </c>
      <c r="D279" s="6" t="s">
        <v>112</v>
      </c>
      <c r="E279" s="6" t="s">
        <v>113</v>
      </c>
      <c r="F279" s="7" t="s">
        <v>103</v>
      </c>
      <c r="G279" s="7" t="s">
        <v>114</v>
      </c>
      <c r="H279" s="7"/>
      <c r="I279" s="7"/>
      <c r="J279" s="7" t="s">
        <v>661</v>
      </c>
      <c r="K279" s="7" t="s">
        <v>662</v>
      </c>
      <c r="L279" s="7" t="s">
        <v>81</v>
      </c>
      <c r="M279" s="8" t="str">
        <f t="shared" si="8"/>
        <v>NA</v>
      </c>
      <c r="N279" s="8" t="str">
        <f t="shared" si="9"/>
        <v>Complete</v>
      </c>
    </row>
    <row r="280" spans="1:14" ht="40.5" customHeight="1">
      <c r="A280" s="6">
        <v>279</v>
      </c>
      <c r="B280" s="6" t="s">
        <v>646</v>
      </c>
      <c r="C280" s="6" t="s">
        <v>647</v>
      </c>
      <c r="D280" s="6" t="s">
        <v>117</v>
      </c>
      <c r="E280" s="6" t="s">
        <v>118</v>
      </c>
      <c r="F280" s="7" t="s">
        <v>103</v>
      </c>
      <c r="G280" s="7" t="s">
        <v>104</v>
      </c>
      <c r="H280" s="7"/>
      <c r="I280" s="7"/>
      <c r="J280" s="7" t="s">
        <v>663</v>
      </c>
      <c r="K280" s="7" t="s">
        <v>664</v>
      </c>
      <c r="L280" s="7" t="s">
        <v>81</v>
      </c>
      <c r="M280" s="8" t="str">
        <f t="shared" si="8"/>
        <v>NA</v>
      </c>
      <c r="N280" s="8" t="str">
        <f t="shared" si="9"/>
        <v>Complete</v>
      </c>
    </row>
    <row r="281" spans="1:14" ht="40.5" customHeight="1">
      <c r="A281" s="6">
        <v>280</v>
      </c>
      <c r="B281" s="6" t="s">
        <v>646</v>
      </c>
      <c r="C281" s="6" t="s">
        <v>647</v>
      </c>
      <c r="D281" s="6" t="s">
        <v>122</v>
      </c>
      <c r="E281" s="6" t="s">
        <v>123</v>
      </c>
      <c r="F281" s="7" t="s">
        <v>103</v>
      </c>
      <c r="G281" s="7" t="s">
        <v>104</v>
      </c>
      <c r="H281" s="7"/>
      <c r="I281" s="7"/>
      <c r="J281" s="7" t="s">
        <v>665</v>
      </c>
      <c r="K281" s="7" t="s">
        <v>666</v>
      </c>
      <c r="L281" s="7" t="s">
        <v>81</v>
      </c>
      <c r="M281" s="8" t="str">
        <f t="shared" si="8"/>
        <v>NA</v>
      </c>
      <c r="N281" s="8" t="str">
        <f t="shared" si="9"/>
        <v>Complete</v>
      </c>
    </row>
    <row r="282" spans="1:14" ht="27" customHeight="1">
      <c r="A282" s="6">
        <v>281</v>
      </c>
      <c r="B282" s="6" t="s">
        <v>667</v>
      </c>
      <c r="C282" s="6" t="s">
        <v>668</v>
      </c>
      <c r="D282" s="6" t="s">
        <v>75</v>
      </c>
      <c r="E282" s="6" t="s">
        <v>76</v>
      </c>
      <c r="F282" s="7" t="s">
        <v>77</v>
      </c>
      <c r="G282" s="7"/>
      <c r="H282" s="7" t="s">
        <v>78</v>
      </c>
      <c r="I282" s="7"/>
      <c r="J282" s="7" t="s">
        <v>669</v>
      </c>
      <c r="K282" s="7" t="s">
        <v>670</v>
      </c>
      <c r="L282" s="7" t="s">
        <v>132</v>
      </c>
      <c r="M282" s="8" t="str">
        <f t="shared" si="8"/>
        <v>D</v>
      </c>
      <c r="N282" s="8" t="str">
        <f t="shared" si="9"/>
        <v>Complete</v>
      </c>
    </row>
    <row r="283" spans="1:14" ht="27" customHeight="1">
      <c r="A283" s="6">
        <v>282</v>
      </c>
      <c r="B283" s="6" t="s">
        <v>667</v>
      </c>
      <c r="C283" s="6" t="s">
        <v>668</v>
      </c>
      <c r="D283" s="6" t="s">
        <v>82</v>
      </c>
      <c r="E283" s="6" t="s">
        <v>83</v>
      </c>
      <c r="F283" s="7" t="s">
        <v>77</v>
      </c>
      <c r="G283" s="7"/>
      <c r="H283" s="7" t="s">
        <v>88</v>
      </c>
      <c r="I283" s="7" t="s">
        <v>89</v>
      </c>
      <c r="J283" s="7" t="s">
        <v>671</v>
      </c>
      <c r="K283" s="7" t="s">
        <v>672</v>
      </c>
      <c r="L283" s="7" t="s">
        <v>81</v>
      </c>
      <c r="M283" s="8" t="str">
        <f t="shared" si="8"/>
        <v>R</v>
      </c>
      <c r="N283" s="8" t="str">
        <f t="shared" si="9"/>
        <v>Complete</v>
      </c>
    </row>
    <row r="284" spans="1:14" ht="40.5" customHeight="1">
      <c r="A284" s="6">
        <v>283</v>
      </c>
      <c r="B284" s="6" t="s">
        <v>667</v>
      </c>
      <c r="C284" s="6" t="s">
        <v>668</v>
      </c>
      <c r="D284" s="6" t="s">
        <v>86</v>
      </c>
      <c r="E284" s="6" t="s">
        <v>87</v>
      </c>
      <c r="F284" s="7" t="s">
        <v>77</v>
      </c>
      <c r="G284" s="7"/>
      <c r="H284" s="7" t="s">
        <v>78</v>
      </c>
      <c r="I284" s="7"/>
      <c r="J284" s="7" t="s">
        <v>673</v>
      </c>
      <c r="K284" s="7" t="s">
        <v>674</v>
      </c>
      <c r="L284" s="7" t="s">
        <v>111</v>
      </c>
      <c r="M284" s="8" t="str">
        <f t="shared" si="8"/>
        <v>D</v>
      </c>
      <c r="N284" s="8" t="str">
        <f t="shared" si="9"/>
        <v>Complete</v>
      </c>
    </row>
    <row r="285" spans="1:14" ht="27" customHeight="1">
      <c r="A285" s="6">
        <v>284</v>
      </c>
      <c r="B285" s="6" t="s">
        <v>667</v>
      </c>
      <c r="C285" s="6" t="s">
        <v>668</v>
      </c>
      <c r="D285" s="6" t="s">
        <v>92</v>
      </c>
      <c r="E285" s="6" t="s">
        <v>93</v>
      </c>
      <c r="F285" s="7" t="s">
        <v>77</v>
      </c>
      <c r="G285" s="7"/>
      <c r="H285" s="7" t="s">
        <v>94</v>
      </c>
      <c r="I285" s="7"/>
      <c r="J285" s="7" t="s">
        <v>675</v>
      </c>
      <c r="K285" s="7" t="s">
        <v>676</v>
      </c>
      <c r="L285" s="7" t="s">
        <v>81</v>
      </c>
      <c r="M285" s="8" t="str">
        <f t="shared" si="8"/>
        <v>U</v>
      </c>
      <c r="N285" s="8" t="str">
        <f t="shared" si="9"/>
        <v>Complete</v>
      </c>
    </row>
    <row r="286" spans="1:14" ht="27" customHeight="1">
      <c r="A286" s="6">
        <v>285</v>
      </c>
      <c r="B286" s="6" t="s">
        <v>667</v>
      </c>
      <c r="C286" s="6" t="s">
        <v>668</v>
      </c>
      <c r="D286" s="6" t="s">
        <v>97</v>
      </c>
      <c r="E286" s="6" t="s">
        <v>98</v>
      </c>
      <c r="F286" s="7" t="s">
        <v>77</v>
      </c>
      <c r="G286" s="7"/>
      <c r="H286" s="7" t="s">
        <v>94</v>
      </c>
      <c r="I286" s="7"/>
      <c r="J286" s="7" t="s">
        <v>677</v>
      </c>
      <c r="K286" s="7" t="s">
        <v>678</v>
      </c>
      <c r="L286" s="7" t="s">
        <v>81</v>
      </c>
      <c r="M286" s="8" t="str">
        <f t="shared" si="8"/>
        <v>U</v>
      </c>
      <c r="N286" s="8" t="str">
        <f t="shared" si="9"/>
        <v>Complete</v>
      </c>
    </row>
    <row r="287" spans="1:14" ht="27" customHeight="1">
      <c r="A287" s="6">
        <v>286</v>
      </c>
      <c r="B287" s="6" t="s">
        <v>667</v>
      </c>
      <c r="C287" s="6" t="s">
        <v>668</v>
      </c>
      <c r="D287" s="6" t="s">
        <v>101</v>
      </c>
      <c r="E287" s="6" t="s">
        <v>102</v>
      </c>
      <c r="F287" s="7" t="s">
        <v>103</v>
      </c>
      <c r="G287" s="7" t="s">
        <v>104</v>
      </c>
      <c r="H287" s="7"/>
      <c r="I287" s="7"/>
      <c r="J287" s="7" t="s">
        <v>679</v>
      </c>
      <c r="K287" s="7" t="s">
        <v>680</v>
      </c>
      <c r="L287" s="7" t="s">
        <v>81</v>
      </c>
      <c r="M287" s="8" t="str">
        <f t="shared" si="8"/>
        <v>NA</v>
      </c>
      <c r="N287" s="8" t="str">
        <f t="shared" si="9"/>
        <v>Complete</v>
      </c>
    </row>
    <row r="288" spans="1:14" ht="27" customHeight="1">
      <c r="A288" s="6">
        <v>287</v>
      </c>
      <c r="B288" s="6" t="s">
        <v>667</v>
      </c>
      <c r="C288" s="6" t="s">
        <v>668</v>
      </c>
      <c r="D288" s="6" t="s">
        <v>107</v>
      </c>
      <c r="E288" s="6" t="s">
        <v>108</v>
      </c>
      <c r="F288" s="7" t="s">
        <v>77</v>
      </c>
      <c r="G288" s="7"/>
      <c r="H288" s="7" t="s">
        <v>78</v>
      </c>
      <c r="I288" s="7"/>
      <c r="J288" s="7" t="s">
        <v>681</v>
      </c>
      <c r="K288" s="7" t="s">
        <v>682</v>
      </c>
      <c r="L288" s="7" t="s">
        <v>111</v>
      </c>
      <c r="M288" s="8" t="str">
        <f t="shared" si="8"/>
        <v>D</v>
      </c>
      <c r="N288" s="8" t="str">
        <f t="shared" si="9"/>
        <v>Complete</v>
      </c>
    </row>
    <row r="289" spans="1:14" ht="27" customHeight="1">
      <c r="A289" s="6">
        <v>288</v>
      </c>
      <c r="B289" s="6" t="s">
        <v>667</v>
      </c>
      <c r="C289" s="6" t="s">
        <v>668</v>
      </c>
      <c r="D289" s="6" t="s">
        <v>112</v>
      </c>
      <c r="E289" s="6" t="s">
        <v>113</v>
      </c>
      <c r="F289" s="7" t="s">
        <v>103</v>
      </c>
      <c r="G289" s="7" t="s">
        <v>104</v>
      </c>
      <c r="H289" s="7"/>
      <c r="I289" s="7"/>
      <c r="J289" s="7" t="s">
        <v>683</v>
      </c>
      <c r="K289" s="7" t="s">
        <v>684</v>
      </c>
      <c r="L289" s="7" t="s">
        <v>111</v>
      </c>
      <c r="M289" s="8" t="str">
        <f t="shared" si="8"/>
        <v>NA</v>
      </c>
      <c r="N289" s="8" t="str">
        <f t="shared" si="9"/>
        <v>Complete</v>
      </c>
    </row>
    <row r="290" spans="1:14" ht="40.5" customHeight="1">
      <c r="A290" s="6">
        <v>289</v>
      </c>
      <c r="B290" s="6" t="s">
        <v>667</v>
      </c>
      <c r="C290" s="6" t="s">
        <v>668</v>
      </c>
      <c r="D290" s="6" t="s">
        <v>117</v>
      </c>
      <c r="E290" s="6" t="s">
        <v>118</v>
      </c>
      <c r="F290" s="7" t="s">
        <v>103</v>
      </c>
      <c r="G290" s="7" t="s">
        <v>104</v>
      </c>
      <c r="H290" s="7"/>
      <c r="I290" s="7"/>
      <c r="J290" s="7" t="s">
        <v>685</v>
      </c>
      <c r="K290" s="7" t="s">
        <v>434</v>
      </c>
      <c r="L290" s="7" t="s">
        <v>81</v>
      </c>
      <c r="M290" s="8" t="str">
        <f t="shared" si="8"/>
        <v>NA</v>
      </c>
      <c r="N290" s="8" t="str">
        <f t="shared" si="9"/>
        <v>Complete</v>
      </c>
    </row>
    <row r="291" spans="1:14" ht="27" customHeight="1">
      <c r="A291" s="6">
        <v>290</v>
      </c>
      <c r="B291" s="6" t="s">
        <v>667</v>
      </c>
      <c r="C291" s="6" t="s">
        <v>668</v>
      </c>
      <c r="D291" s="6" t="s">
        <v>122</v>
      </c>
      <c r="E291" s="6" t="s">
        <v>123</v>
      </c>
      <c r="F291" s="7" t="s">
        <v>103</v>
      </c>
      <c r="G291" s="7" t="s">
        <v>104</v>
      </c>
      <c r="H291" s="7"/>
      <c r="I291" s="7"/>
      <c r="J291" s="7" t="s">
        <v>686</v>
      </c>
      <c r="K291" s="7" t="s">
        <v>687</v>
      </c>
      <c r="L291" s="7" t="s">
        <v>111</v>
      </c>
      <c r="M291" s="8" t="str">
        <f t="shared" si="8"/>
        <v>NA</v>
      </c>
      <c r="N291" s="8" t="str">
        <f t="shared" si="9"/>
        <v>Complete</v>
      </c>
    </row>
    <row r="292" spans="1:14" ht="27" customHeight="1">
      <c r="A292" s="6">
        <v>291</v>
      </c>
      <c r="B292" s="6" t="s">
        <v>688</v>
      </c>
      <c r="C292" s="6" t="s">
        <v>689</v>
      </c>
      <c r="D292" s="6" t="s">
        <v>75</v>
      </c>
      <c r="E292" s="6" t="s">
        <v>76</v>
      </c>
      <c r="F292" s="7" t="s">
        <v>77</v>
      </c>
      <c r="G292" s="7"/>
      <c r="H292" s="7" t="s">
        <v>78</v>
      </c>
      <c r="I292" s="7"/>
      <c r="J292" s="7" t="s">
        <v>690</v>
      </c>
      <c r="K292" s="7" t="s">
        <v>691</v>
      </c>
      <c r="L292" s="7" t="s">
        <v>132</v>
      </c>
      <c r="M292" s="8" t="str">
        <f t="shared" si="8"/>
        <v>D</v>
      </c>
      <c r="N292" s="8" t="str">
        <f t="shared" si="9"/>
        <v>Complete</v>
      </c>
    </row>
    <row r="293" spans="1:14" ht="27" customHeight="1">
      <c r="A293" s="6">
        <v>292</v>
      </c>
      <c r="B293" s="6" t="s">
        <v>688</v>
      </c>
      <c r="C293" s="6" t="s">
        <v>689</v>
      </c>
      <c r="D293" s="6" t="s">
        <v>82</v>
      </c>
      <c r="E293" s="6" t="s">
        <v>83</v>
      </c>
      <c r="F293" s="7" t="s">
        <v>77</v>
      </c>
      <c r="G293" s="7"/>
      <c r="H293" s="7" t="s">
        <v>88</v>
      </c>
      <c r="I293" s="7" t="s">
        <v>89</v>
      </c>
      <c r="J293" s="7" t="s">
        <v>692</v>
      </c>
      <c r="K293" s="7" t="s">
        <v>693</v>
      </c>
      <c r="L293" s="7" t="s">
        <v>81</v>
      </c>
      <c r="M293" s="8" t="str">
        <f t="shared" si="8"/>
        <v>R</v>
      </c>
      <c r="N293" s="8" t="str">
        <f t="shared" si="9"/>
        <v>Complete</v>
      </c>
    </row>
    <row r="294" spans="1:14" ht="27" customHeight="1">
      <c r="A294" s="6">
        <v>293</v>
      </c>
      <c r="B294" s="6" t="s">
        <v>688</v>
      </c>
      <c r="C294" s="6" t="s">
        <v>689</v>
      </c>
      <c r="D294" s="6" t="s">
        <v>86</v>
      </c>
      <c r="E294" s="6" t="s">
        <v>87</v>
      </c>
      <c r="F294" s="7" t="s">
        <v>77</v>
      </c>
      <c r="G294" s="7"/>
      <c r="H294" s="7" t="s">
        <v>78</v>
      </c>
      <c r="I294" s="7"/>
      <c r="J294" s="7" t="s">
        <v>694</v>
      </c>
      <c r="K294" s="7" t="s">
        <v>695</v>
      </c>
      <c r="L294" s="7" t="s">
        <v>111</v>
      </c>
      <c r="M294" s="8" t="str">
        <f t="shared" si="8"/>
        <v>D</v>
      </c>
      <c r="N294" s="8" t="str">
        <f t="shared" si="9"/>
        <v>Complete</v>
      </c>
    </row>
    <row r="295" spans="1:14" ht="27" customHeight="1">
      <c r="A295" s="6">
        <v>294</v>
      </c>
      <c r="B295" s="6" t="s">
        <v>688</v>
      </c>
      <c r="C295" s="6" t="s">
        <v>689</v>
      </c>
      <c r="D295" s="6" t="s">
        <v>92</v>
      </c>
      <c r="E295" s="6" t="s">
        <v>93</v>
      </c>
      <c r="F295" s="7" t="s">
        <v>77</v>
      </c>
      <c r="G295" s="7"/>
      <c r="H295" s="7" t="s">
        <v>94</v>
      </c>
      <c r="I295" s="7"/>
      <c r="J295" s="7" t="s">
        <v>696</v>
      </c>
      <c r="K295" s="7" t="s">
        <v>697</v>
      </c>
      <c r="L295" s="7" t="s">
        <v>81</v>
      </c>
      <c r="M295" s="8" t="str">
        <f t="shared" si="8"/>
        <v>U</v>
      </c>
      <c r="N295" s="8" t="str">
        <f t="shared" si="9"/>
        <v>Complete</v>
      </c>
    </row>
    <row r="296" spans="1:14" ht="27" customHeight="1">
      <c r="A296" s="6">
        <v>295</v>
      </c>
      <c r="B296" s="6" t="s">
        <v>688</v>
      </c>
      <c r="C296" s="6" t="s">
        <v>689</v>
      </c>
      <c r="D296" s="6" t="s">
        <v>97</v>
      </c>
      <c r="E296" s="6" t="s">
        <v>98</v>
      </c>
      <c r="F296" s="7" t="s">
        <v>77</v>
      </c>
      <c r="G296" s="7"/>
      <c r="H296" s="7" t="s">
        <v>94</v>
      </c>
      <c r="I296" s="7"/>
      <c r="J296" s="7" t="s">
        <v>698</v>
      </c>
      <c r="K296" s="7" t="s">
        <v>699</v>
      </c>
      <c r="L296" s="7" t="s">
        <v>81</v>
      </c>
      <c r="M296" s="8" t="str">
        <f t="shared" si="8"/>
        <v>U</v>
      </c>
      <c r="N296" s="8" t="str">
        <f t="shared" si="9"/>
        <v>Complete</v>
      </c>
    </row>
    <row r="297" spans="1:14" ht="40.5" customHeight="1">
      <c r="A297" s="6">
        <v>296</v>
      </c>
      <c r="B297" s="6" t="s">
        <v>688</v>
      </c>
      <c r="C297" s="6" t="s">
        <v>689</v>
      </c>
      <c r="D297" s="6" t="s">
        <v>101</v>
      </c>
      <c r="E297" s="6" t="s">
        <v>102</v>
      </c>
      <c r="F297" s="7" t="s">
        <v>103</v>
      </c>
      <c r="G297" s="7" t="s">
        <v>104</v>
      </c>
      <c r="H297" s="7"/>
      <c r="I297" s="7"/>
      <c r="J297" s="7" t="s">
        <v>700</v>
      </c>
      <c r="K297" s="7" t="s">
        <v>701</v>
      </c>
      <c r="L297" s="7" t="s">
        <v>81</v>
      </c>
      <c r="M297" s="8" t="str">
        <f t="shared" si="8"/>
        <v>NA</v>
      </c>
      <c r="N297" s="8" t="str">
        <f t="shared" si="9"/>
        <v>Complete</v>
      </c>
    </row>
    <row r="298" spans="1:14" ht="40.5" customHeight="1">
      <c r="A298" s="6">
        <v>297</v>
      </c>
      <c r="B298" s="6" t="s">
        <v>688</v>
      </c>
      <c r="C298" s="6" t="s">
        <v>689</v>
      </c>
      <c r="D298" s="6" t="s">
        <v>107</v>
      </c>
      <c r="E298" s="6" t="s">
        <v>108</v>
      </c>
      <c r="F298" s="7" t="s">
        <v>103</v>
      </c>
      <c r="G298" s="7" t="s">
        <v>104</v>
      </c>
      <c r="H298" s="7"/>
      <c r="I298" s="7"/>
      <c r="J298" s="7" t="s">
        <v>702</v>
      </c>
      <c r="K298" s="7" t="s">
        <v>430</v>
      </c>
      <c r="L298" s="7" t="s">
        <v>81</v>
      </c>
      <c r="M298" s="8" t="str">
        <f t="shared" si="8"/>
        <v>NA</v>
      </c>
      <c r="N298" s="8" t="str">
        <f t="shared" si="9"/>
        <v>Complete</v>
      </c>
    </row>
    <row r="299" spans="1:14" ht="40.5" customHeight="1">
      <c r="A299" s="6">
        <v>298</v>
      </c>
      <c r="B299" s="6" t="s">
        <v>688</v>
      </c>
      <c r="C299" s="6" t="s">
        <v>689</v>
      </c>
      <c r="D299" s="6" t="s">
        <v>112</v>
      </c>
      <c r="E299" s="6" t="s">
        <v>113</v>
      </c>
      <c r="F299" s="7" t="s">
        <v>103</v>
      </c>
      <c r="G299" s="7" t="s">
        <v>114</v>
      </c>
      <c r="H299" s="7"/>
      <c r="I299" s="7"/>
      <c r="J299" s="7" t="s">
        <v>703</v>
      </c>
      <c r="K299" s="7" t="s">
        <v>184</v>
      </c>
      <c r="L299" s="7" t="s">
        <v>132</v>
      </c>
      <c r="M299" s="8" t="str">
        <f t="shared" si="8"/>
        <v>NA</v>
      </c>
      <c r="N299" s="8" t="str">
        <f t="shared" si="9"/>
        <v>Complete</v>
      </c>
    </row>
    <row r="300" spans="1:14" ht="40.5" customHeight="1">
      <c r="A300" s="6">
        <v>299</v>
      </c>
      <c r="B300" s="6" t="s">
        <v>688</v>
      </c>
      <c r="C300" s="6" t="s">
        <v>689</v>
      </c>
      <c r="D300" s="6" t="s">
        <v>117</v>
      </c>
      <c r="E300" s="6" t="s">
        <v>118</v>
      </c>
      <c r="F300" s="7" t="s">
        <v>103</v>
      </c>
      <c r="G300" s="7" t="s">
        <v>104</v>
      </c>
      <c r="H300" s="7"/>
      <c r="I300" s="7"/>
      <c r="J300" s="7" t="s">
        <v>703</v>
      </c>
      <c r="K300" s="7" t="s">
        <v>704</v>
      </c>
      <c r="L300" s="7" t="s">
        <v>111</v>
      </c>
      <c r="M300" s="8" t="str">
        <f t="shared" si="8"/>
        <v>NA</v>
      </c>
      <c r="N300" s="8" t="str">
        <f t="shared" si="9"/>
        <v>Complete</v>
      </c>
    </row>
    <row r="301" spans="1:14" ht="40.5" customHeight="1">
      <c r="A301" s="6">
        <v>300</v>
      </c>
      <c r="B301" s="6" t="s">
        <v>688</v>
      </c>
      <c r="C301" s="6" t="s">
        <v>689</v>
      </c>
      <c r="D301" s="6" t="s">
        <v>122</v>
      </c>
      <c r="E301" s="6" t="s">
        <v>123</v>
      </c>
      <c r="F301" s="7" t="s">
        <v>103</v>
      </c>
      <c r="G301" s="7" t="s">
        <v>104</v>
      </c>
      <c r="H301" s="7"/>
      <c r="I301" s="7"/>
      <c r="J301" s="7" t="s">
        <v>705</v>
      </c>
      <c r="K301" s="7" t="s">
        <v>706</v>
      </c>
      <c r="L301" s="7" t="s">
        <v>81</v>
      </c>
      <c r="M301" s="8" t="str">
        <f t="shared" si="8"/>
        <v>NA</v>
      </c>
      <c r="N301" s="8" t="str">
        <f t="shared" si="9"/>
        <v>Complete</v>
      </c>
    </row>
    <row r="302" spans="1:14" ht="27" customHeight="1">
      <c r="A302" s="6">
        <v>301</v>
      </c>
      <c r="B302" s="6" t="s">
        <v>707</v>
      </c>
      <c r="C302" s="6" t="s">
        <v>708</v>
      </c>
      <c r="D302" s="6" t="s">
        <v>75</v>
      </c>
      <c r="E302" s="6" t="s">
        <v>76</v>
      </c>
      <c r="F302" s="7" t="s">
        <v>77</v>
      </c>
      <c r="G302" s="7"/>
      <c r="H302" s="7" t="s">
        <v>78</v>
      </c>
      <c r="I302" s="7"/>
      <c r="J302" s="7" t="s">
        <v>709</v>
      </c>
      <c r="K302" s="7" t="s">
        <v>710</v>
      </c>
      <c r="L302" s="7" t="s">
        <v>81</v>
      </c>
      <c r="M302" s="8" t="str">
        <f t="shared" si="8"/>
        <v>D</v>
      </c>
      <c r="N302" s="8" t="str">
        <f t="shared" si="9"/>
        <v>Complete</v>
      </c>
    </row>
    <row r="303" spans="1:14" ht="27" customHeight="1">
      <c r="A303" s="6">
        <v>302</v>
      </c>
      <c r="B303" s="6" t="s">
        <v>707</v>
      </c>
      <c r="C303" s="6" t="s">
        <v>708</v>
      </c>
      <c r="D303" s="6" t="s">
        <v>82</v>
      </c>
      <c r="E303" s="6" t="s">
        <v>83</v>
      </c>
      <c r="F303" s="7" t="s">
        <v>77</v>
      </c>
      <c r="G303" s="7"/>
      <c r="H303" s="7" t="s">
        <v>88</v>
      </c>
      <c r="I303" s="7" t="s">
        <v>89</v>
      </c>
      <c r="J303" s="7" t="s">
        <v>711</v>
      </c>
      <c r="K303" s="7" t="s">
        <v>712</v>
      </c>
      <c r="L303" s="7" t="s">
        <v>81</v>
      </c>
      <c r="M303" s="8" t="str">
        <f t="shared" si="8"/>
        <v>R</v>
      </c>
      <c r="N303" s="8" t="str">
        <f t="shared" si="9"/>
        <v>Complete</v>
      </c>
    </row>
    <row r="304" spans="1:14" ht="27" customHeight="1">
      <c r="A304" s="6">
        <v>303</v>
      </c>
      <c r="B304" s="6" t="s">
        <v>707</v>
      </c>
      <c r="C304" s="6" t="s">
        <v>708</v>
      </c>
      <c r="D304" s="6" t="s">
        <v>86</v>
      </c>
      <c r="E304" s="6" t="s">
        <v>87</v>
      </c>
      <c r="F304" s="7" t="s">
        <v>77</v>
      </c>
      <c r="G304" s="7"/>
      <c r="H304" s="7" t="s">
        <v>78</v>
      </c>
      <c r="I304" s="7"/>
      <c r="J304" s="7" t="s">
        <v>713</v>
      </c>
      <c r="K304" s="7" t="s">
        <v>714</v>
      </c>
      <c r="L304" s="7" t="s">
        <v>81</v>
      </c>
      <c r="M304" s="8" t="str">
        <f t="shared" si="8"/>
        <v>D</v>
      </c>
      <c r="N304" s="8" t="str">
        <f t="shared" si="9"/>
        <v>Complete</v>
      </c>
    </row>
    <row r="305" spans="1:14" ht="27" customHeight="1">
      <c r="A305" s="6">
        <v>304</v>
      </c>
      <c r="B305" s="6" t="s">
        <v>707</v>
      </c>
      <c r="C305" s="6" t="s">
        <v>708</v>
      </c>
      <c r="D305" s="6" t="s">
        <v>92</v>
      </c>
      <c r="E305" s="6" t="s">
        <v>93</v>
      </c>
      <c r="F305" s="7" t="s">
        <v>77</v>
      </c>
      <c r="G305" s="7"/>
      <c r="H305" s="7" t="s">
        <v>88</v>
      </c>
      <c r="I305" s="7" t="s">
        <v>119</v>
      </c>
      <c r="J305" s="7" t="s">
        <v>715</v>
      </c>
      <c r="K305" s="7" t="s">
        <v>716</v>
      </c>
      <c r="L305" s="7" t="s">
        <v>111</v>
      </c>
      <c r="M305" s="8" t="str">
        <f t="shared" si="8"/>
        <v>R</v>
      </c>
      <c r="N305" s="8" t="str">
        <f t="shared" si="9"/>
        <v>Complete</v>
      </c>
    </row>
    <row r="306" spans="1:14" ht="27" customHeight="1">
      <c r="A306" s="6">
        <v>305</v>
      </c>
      <c r="B306" s="6" t="s">
        <v>707</v>
      </c>
      <c r="C306" s="6" t="s">
        <v>708</v>
      </c>
      <c r="D306" s="6" t="s">
        <v>97</v>
      </c>
      <c r="E306" s="6" t="s">
        <v>98</v>
      </c>
      <c r="F306" s="7" t="s">
        <v>77</v>
      </c>
      <c r="G306" s="7"/>
      <c r="H306" s="7" t="s">
        <v>94</v>
      </c>
      <c r="I306" s="7"/>
      <c r="J306" s="7" t="s">
        <v>717</v>
      </c>
      <c r="K306" s="7" t="s">
        <v>718</v>
      </c>
      <c r="L306" s="7" t="s">
        <v>81</v>
      </c>
      <c r="M306" s="8" t="str">
        <f t="shared" si="8"/>
        <v>U</v>
      </c>
      <c r="N306" s="8" t="str">
        <f t="shared" si="9"/>
        <v>Complete</v>
      </c>
    </row>
    <row r="307" spans="1:14" ht="40.5" customHeight="1">
      <c r="A307" s="6">
        <v>306</v>
      </c>
      <c r="B307" s="6" t="s">
        <v>707</v>
      </c>
      <c r="C307" s="6" t="s">
        <v>708</v>
      </c>
      <c r="D307" s="6" t="s">
        <v>101</v>
      </c>
      <c r="E307" s="6" t="s">
        <v>102</v>
      </c>
      <c r="F307" s="7" t="s">
        <v>103</v>
      </c>
      <c r="G307" s="7" t="s">
        <v>104</v>
      </c>
      <c r="H307" s="7"/>
      <c r="I307" s="7"/>
      <c r="J307" s="7" t="s">
        <v>719</v>
      </c>
      <c r="K307" s="7" t="s">
        <v>720</v>
      </c>
      <c r="L307" s="7" t="s">
        <v>81</v>
      </c>
      <c r="M307" s="8" t="str">
        <f t="shared" si="8"/>
        <v>NA</v>
      </c>
      <c r="N307" s="8" t="str">
        <f t="shared" si="9"/>
        <v>Complete</v>
      </c>
    </row>
    <row r="308" spans="1:14" ht="27" customHeight="1">
      <c r="A308" s="6">
        <v>307</v>
      </c>
      <c r="B308" s="6" t="s">
        <v>707</v>
      </c>
      <c r="C308" s="6" t="s">
        <v>708</v>
      </c>
      <c r="D308" s="6" t="s">
        <v>107</v>
      </c>
      <c r="E308" s="6" t="s">
        <v>108</v>
      </c>
      <c r="F308" s="7" t="s">
        <v>77</v>
      </c>
      <c r="G308" s="7"/>
      <c r="H308" s="7" t="s">
        <v>94</v>
      </c>
      <c r="I308" s="7"/>
      <c r="J308" s="7" t="s">
        <v>721</v>
      </c>
      <c r="K308" s="7" t="s">
        <v>722</v>
      </c>
      <c r="L308" s="7" t="s">
        <v>111</v>
      </c>
      <c r="M308" s="8" t="str">
        <f t="shared" si="8"/>
        <v>U</v>
      </c>
      <c r="N308" s="8" t="str">
        <f t="shared" si="9"/>
        <v>Complete</v>
      </c>
    </row>
    <row r="309" spans="1:14" ht="40.5" customHeight="1">
      <c r="A309" s="6">
        <v>308</v>
      </c>
      <c r="B309" s="6" t="s">
        <v>707</v>
      </c>
      <c r="C309" s="6" t="s">
        <v>708</v>
      </c>
      <c r="D309" s="6" t="s">
        <v>112</v>
      </c>
      <c r="E309" s="6" t="s">
        <v>113</v>
      </c>
      <c r="F309" s="7" t="s">
        <v>103</v>
      </c>
      <c r="G309" s="7" t="s">
        <v>114</v>
      </c>
      <c r="H309" s="7"/>
      <c r="I309" s="7"/>
      <c r="J309" s="7" t="s">
        <v>723</v>
      </c>
      <c r="K309" s="7" t="s">
        <v>184</v>
      </c>
      <c r="L309" s="7" t="s">
        <v>132</v>
      </c>
      <c r="M309" s="8" t="str">
        <f t="shared" si="8"/>
        <v>NA</v>
      </c>
      <c r="N309" s="8" t="str">
        <f t="shared" si="9"/>
        <v>Complete</v>
      </c>
    </row>
    <row r="310" spans="1:14" ht="40.5" customHeight="1">
      <c r="A310" s="6">
        <v>309</v>
      </c>
      <c r="B310" s="6" t="s">
        <v>707</v>
      </c>
      <c r="C310" s="6" t="s">
        <v>708</v>
      </c>
      <c r="D310" s="6" t="s">
        <v>117</v>
      </c>
      <c r="E310" s="6" t="s">
        <v>118</v>
      </c>
      <c r="F310" s="7" t="s">
        <v>103</v>
      </c>
      <c r="G310" s="7" t="s">
        <v>104</v>
      </c>
      <c r="H310" s="7"/>
      <c r="I310" s="7"/>
      <c r="J310" s="7" t="s">
        <v>723</v>
      </c>
      <c r="K310" s="7" t="s">
        <v>724</v>
      </c>
      <c r="L310" s="7" t="s">
        <v>81</v>
      </c>
      <c r="M310" s="8" t="str">
        <f t="shared" si="8"/>
        <v>NA</v>
      </c>
      <c r="N310" s="8" t="str">
        <f t="shared" si="9"/>
        <v>Complete</v>
      </c>
    </row>
    <row r="311" spans="1:14" ht="40.5" customHeight="1">
      <c r="A311" s="6">
        <v>310</v>
      </c>
      <c r="B311" s="6" t="s">
        <v>707</v>
      </c>
      <c r="C311" s="6" t="s">
        <v>708</v>
      </c>
      <c r="D311" s="6" t="s">
        <v>122</v>
      </c>
      <c r="E311" s="6" t="s">
        <v>123</v>
      </c>
      <c r="F311" s="7" t="s">
        <v>103</v>
      </c>
      <c r="G311" s="7" t="s">
        <v>104</v>
      </c>
      <c r="H311" s="7"/>
      <c r="I311" s="7"/>
      <c r="J311" s="7" t="s">
        <v>725</v>
      </c>
      <c r="K311" s="7" t="s">
        <v>726</v>
      </c>
      <c r="L311" s="7" t="s">
        <v>81</v>
      </c>
      <c r="M311" s="8" t="str">
        <f t="shared" si="8"/>
        <v>NA</v>
      </c>
      <c r="N311" s="8" t="str">
        <f t="shared" si="9"/>
        <v>Complete</v>
      </c>
    </row>
    <row r="312" spans="1:14" ht="27" customHeight="1">
      <c r="A312" s="6">
        <v>311</v>
      </c>
      <c r="B312" s="6" t="s">
        <v>727</v>
      </c>
      <c r="C312" s="6" t="s">
        <v>728</v>
      </c>
      <c r="D312" s="6" t="s">
        <v>75</v>
      </c>
      <c r="E312" s="6" t="s">
        <v>76</v>
      </c>
      <c r="F312" s="7" t="s">
        <v>77</v>
      </c>
      <c r="G312" s="7"/>
      <c r="H312" s="7" t="s">
        <v>78</v>
      </c>
      <c r="I312" s="7"/>
      <c r="J312" s="7" t="s">
        <v>729</v>
      </c>
      <c r="K312" s="7" t="s">
        <v>730</v>
      </c>
      <c r="L312" s="7" t="s">
        <v>81</v>
      </c>
      <c r="M312" s="8" t="str">
        <f t="shared" si="8"/>
        <v>D</v>
      </c>
      <c r="N312" s="8" t="str">
        <f t="shared" si="9"/>
        <v>Complete</v>
      </c>
    </row>
    <row r="313" spans="1:14" ht="40.5" customHeight="1">
      <c r="A313" s="6">
        <v>312</v>
      </c>
      <c r="B313" s="6" t="s">
        <v>727</v>
      </c>
      <c r="C313" s="6" t="s">
        <v>728</v>
      </c>
      <c r="D313" s="6" t="s">
        <v>82</v>
      </c>
      <c r="E313" s="6" t="s">
        <v>83</v>
      </c>
      <c r="F313" s="7" t="s">
        <v>77</v>
      </c>
      <c r="G313" s="7"/>
      <c r="H313" s="7" t="s">
        <v>78</v>
      </c>
      <c r="I313" s="7"/>
      <c r="J313" s="7" t="s">
        <v>731</v>
      </c>
      <c r="K313" s="7" t="s">
        <v>732</v>
      </c>
      <c r="L313" s="7" t="s">
        <v>132</v>
      </c>
      <c r="M313" s="8" t="str">
        <f t="shared" si="8"/>
        <v>D</v>
      </c>
      <c r="N313" s="8" t="str">
        <f t="shared" si="9"/>
        <v>Complete</v>
      </c>
    </row>
    <row r="314" spans="1:14" ht="27" customHeight="1">
      <c r="A314" s="6">
        <v>313</v>
      </c>
      <c r="B314" s="6" t="s">
        <v>727</v>
      </c>
      <c r="C314" s="6" t="s">
        <v>728</v>
      </c>
      <c r="D314" s="6" t="s">
        <v>86</v>
      </c>
      <c r="E314" s="6" t="s">
        <v>87</v>
      </c>
      <c r="F314" s="7" t="s">
        <v>77</v>
      </c>
      <c r="G314" s="7"/>
      <c r="H314" s="7" t="s">
        <v>78</v>
      </c>
      <c r="I314" s="7"/>
      <c r="J314" s="7" t="s">
        <v>733</v>
      </c>
      <c r="K314" s="7" t="s">
        <v>734</v>
      </c>
      <c r="L314" s="7" t="s">
        <v>81</v>
      </c>
      <c r="M314" s="8" t="str">
        <f t="shared" si="8"/>
        <v>D</v>
      </c>
      <c r="N314" s="8" t="str">
        <f t="shared" si="9"/>
        <v>Complete</v>
      </c>
    </row>
    <row r="315" spans="1:14" ht="27" customHeight="1">
      <c r="A315" s="6">
        <v>314</v>
      </c>
      <c r="B315" s="6" t="s">
        <v>727</v>
      </c>
      <c r="C315" s="6" t="s">
        <v>728</v>
      </c>
      <c r="D315" s="6" t="s">
        <v>92</v>
      </c>
      <c r="E315" s="6" t="s">
        <v>93</v>
      </c>
      <c r="F315" s="7" t="s">
        <v>77</v>
      </c>
      <c r="G315" s="7"/>
      <c r="H315" s="7" t="s">
        <v>94</v>
      </c>
      <c r="I315" s="7"/>
      <c r="J315" s="7" t="s">
        <v>735</v>
      </c>
      <c r="K315" s="7" t="s">
        <v>736</v>
      </c>
      <c r="L315" s="7" t="s">
        <v>81</v>
      </c>
      <c r="M315" s="8" t="str">
        <f t="shared" si="8"/>
        <v>U</v>
      </c>
      <c r="N315" s="8" t="str">
        <f t="shared" si="9"/>
        <v>Complete</v>
      </c>
    </row>
    <row r="316" spans="1:14" ht="27" customHeight="1">
      <c r="A316" s="6">
        <v>315</v>
      </c>
      <c r="B316" s="6" t="s">
        <v>727</v>
      </c>
      <c r="C316" s="6" t="s">
        <v>728</v>
      </c>
      <c r="D316" s="6" t="s">
        <v>97</v>
      </c>
      <c r="E316" s="6" t="s">
        <v>98</v>
      </c>
      <c r="F316" s="7" t="s">
        <v>77</v>
      </c>
      <c r="G316" s="7"/>
      <c r="H316" s="7" t="s">
        <v>94</v>
      </c>
      <c r="I316" s="7"/>
      <c r="J316" s="7" t="s">
        <v>737</v>
      </c>
      <c r="K316" s="7" t="s">
        <v>738</v>
      </c>
      <c r="L316" s="7" t="s">
        <v>81</v>
      </c>
      <c r="M316" s="8" t="str">
        <f t="shared" si="8"/>
        <v>U</v>
      </c>
      <c r="N316" s="8" t="str">
        <f t="shared" si="9"/>
        <v>Complete</v>
      </c>
    </row>
    <row r="317" spans="1:14" ht="40.5" customHeight="1">
      <c r="A317" s="6">
        <v>316</v>
      </c>
      <c r="B317" s="6" t="s">
        <v>727</v>
      </c>
      <c r="C317" s="6" t="s">
        <v>728</v>
      </c>
      <c r="D317" s="6" t="s">
        <v>101</v>
      </c>
      <c r="E317" s="6" t="s">
        <v>102</v>
      </c>
      <c r="F317" s="7" t="s">
        <v>103</v>
      </c>
      <c r="G317" s="7" t="s">
        <v>104</v>
      </c>
      <c r="H317" s="7"/>
      <c r="I317" s="7"/>
      <c r="J317" s="7" t="s">
        <v>739</v>
      </c>
      <c r="K317" s="7" t="s">
        <v>720</v>
      </c>
      <c r="L317" s="7" t="s">
        <v>81</v>
      </c>
      <c r="M317" s="8" t="str">
        <f t="shared" si="8"/>
        <v>NA</v>
      </c>
      <c r="N317" s="8" t="str">
        <f t="shared" si="9"/>
        <v>Complete</v>
      </c>
    </row>
    <row r="318" spans="1:14" ht="40.5" customHeight="1">
      <c r="A318" s="6">
        <v>317</v>
      </c>
      <c r="B318" s="6" t="s">
        <v>727</v>
      </c>
      <c r="C318" s="6" t="s">
        <v>728</v>
      </c>
      <c r="D318" s="6" t="s">
        <v>107</v>
      </c>
      <c r="E318" s="6" t="s">
        <v>108</v>
      </c>
      <c r="F318" s="7" t="s">
        <v>103</v>
      </c>
      <c r="G318" s="7" t="s">
        <v>104</v>
      </c>
      <c r="H318" s="7"/>
      <c r="I318" s="7"/>
      <c r="J318" s="7" t="s">
        <v>740</v>
      </c>
      <c r="K318" s="7" t="s">
        <v>741</v>
      </c>
      <c r="L318" s="7" t="s">
        <v>81</v>
      </c>
      <c r="M318" s="8" t="str">
        <f t="shared" si="8"/>
        <v>NA</v>
      </c>
      <c r="N318" s="8" t="str">
        <f t="shared" si="9"/>
        <v>Complete</v>
      </c>
    </row>
    <row r="319" spans="1:14" ht="40.5" customHeight="1">
      <c r="A319" s="6">
        <v>318</v>
      </c>
      <c r="B319" s="6" t="s">
        <v>727</v>
      </c>
      <c r="C319" s="6" t="s">
        <v>728</v>
      </c>
      <c r="D319" s="6" t="s">
        <v>112</v>
      </c>
      <c r="E319" s="6" t="s">
        <v>113</v>
      </c>
      <c r="F319" s="7" t="s">
        <v>103</v>
      </c>
      <c r="G319" s="7" t="s">
        <v>114</v>
      </c>
      <c r="H319" s="7"/>
      <c r="I319" s="7"/>
      <c r="J319" s="7" t="s">
        <v>742</v>
      </c>
      <c r="K319" s="7" t="s">
        <v>184</v>
      </c>
      <c r="L319" s="7" t="s">
        <v>132</v>
      </c>
      <c r="M319" s="8" t="str">
        <f t="shared" si="8"/>
        <v>NA</v>
      </c>
      <c r="N319" s="8" t="str">
        <f t="shared" si="9"/>
        <v>Complete</v>
      </c>
    </row>
    <row r="320" spans="1:14" ht="40.5" customHeight="1">
      <c r="A320" s="6">
        <v>319</v>
      </c>
      <c r="B320" s="6" t="s">
        <v>727</v>
      </c>
      <c r="C320" s="6" t="s">
        <v>728</v>
      </c>
      <c r="D320" s="6" t="s">
        <v>117</v>
      </c>
      <c r="E320" s="6" t="s">
        <v>118</v>
      </c>
      <c r="F320" s="7" t="s">
        <v>103</v>
      </c>
      <c r="G320" s="7" t="s">
        <v>104</v>
      </c>
      <c r="H320" s="7"/>
      <c r="I320" s="7"/>
      <c r="J320" s="7" t="s">
        <v>742</v>
      </c>
      <c r="K320" s="7" t="s">
        <v>743</v>
      </c>
      <c r="L320" s="7" t="s">
        <v>81</v>
      </c>
      <c r="M320" s="8" t="str">
        <f t="shared" si="8"/>
        <v>NA</v>
      </c>
      <c r="N320" s="8" t="str">
        <f t="shared" si="9"/>
        <v>Complete</v>
      </c>
    </row>
    <row r="321" spans="1:14" ht="40.5" customHeight="1">
      <c r="A321" s="6">
        <v>320</v>
      </c>
      <c r="B321" s="6" t="s">
        <v>727</v>
      </c>
      <c r="C321" s="6" t="s">
        <v>728</v>
      </c>
      <c r="D321" s="6" t="s">
        <v>122</v>
      </c>
      <c r="E321" s="6" t="s">
        <v>123</v>
      </c>
      <c r="F321" s="7" t="s">
        <v>103</v>
      </c>
      <c r="G321" s="7" t="s">
        <v>104</v>
      </c>
      <c r="H321" s="7"/>
      <c r="I321" s="7"/>
      <c r="J321" s="7" t="s">
        <v>744</v>
      </c>
      <c r="K321" s="7" t="s">
        <v>745</v>
      </c>
      <c r="L321" s="7" t="s">
        <v>81</v>
      </c>
      <c r="M321" s="8" t="str">
        <f t="shared" si="8"/>
        <v>NA</v>
      </c>
      <c r="N321" s="8" t="str">
        <f t="shared" si="9"/>
        <v>Complete</v>
      </c>
    </row>
    <row r="322" spans="1:14" ht="27" customHeight="1">
      <c r="A322" s="6">
        <v>321</v>
      </c>
      <c r="B322" s="6" t="s">
        <v>746</v>
      </c>
      <c r="C322" s="6" t="s">
        <v>747</v>
      </c>
      <c r="D322" s="6" t="s">
        <v>75</v>
      </c>
      <c r="E322" s="6" t="s">
        <v>76</v>
      </c>
      <c r="F322" s="7" t="s">
        <v>77</v>
      </c>
      <c r="G322" s="7"/>
      <c r="H322" s="7" t="s">
        <v>78</v>
      </c>
      <c r="I322" s="7"/>
      <c r="J322" s="7" t="s">
        <v>748</v>
      </c>
      <c r="K322" s="7" t="s">
        <v>749</v>
      </c>
      <c r="L322" s="7" t="s">
        <v>111</v>
      </c>
      <c r="M322" s="8" t="str">
        <f t="shared" ref="M322:M385" si="10">IF(F322="Not applicable","NA",IF(F322="Applicable",IF(H322="","",H322),""))</f>
        <v>D</v>
      </c>
      <c r="N322" s="8" t="str">
        <f t="shared" ref="N322:N385" si="11">IF(F322="","Applicability missing",IF(AND(F322="Applicable",H322=""),"Record status missing",IF(AND(F322="Applicable",G322&lt;&gt;""),"Boundary strength must be blank for applicable rows",IF(AND(F322="Not applicable",G322=""),"Boundary strength missing",IF(AND(F322="Not applicable",H322&lt;&gt;""),"Record status must be blank for not-applicable rows",IF(AND(H322="R",I322=""),"Recovery stability missing",IF(J322="","Evidence location missing","Complete")))))))</f>
        <v>Complete</v>
      </c>
    </row>
    <row r="323" spans="1:14" ht="27" customHeight="1">
      <c r="A323" s="6">
        <v>322</v>
      </c>
      <c r="B323" s="6" t="s">
        <v>746</v>
      </c>
      <c r="C323" s="6" t="s">
        <v>747</v>
      </c>
      <c r="D323" s="6" t="s">
        <v>82</v>
      </c>
      <c r="E323" s="6" t="s">
        <v>83</v>
      </c>
      <c r="F323" s="7" t="s">
        <v>103</v>
      </c>
      <c r="G323" s="7" t="s">
        <v>114</v>
      </c>
      <c r="H323" s="7"/>
      <c r="I323" s="7"/>
      <c r="J323" s="7" t="s">
        <v>750</v>
      </c>
      <c r="K323" s="7" t="s">
        <v>751</v>
      </c>
      <c r="L323" s="7" t="s">
        <v>132</v>
      </c>
      <c r="M323" s="8" t="str">
        <f t="shared" si="10"/>
        <v>NA</v>
      </c>
      <c r="N323" s="8" t="str">
        <f t="shared" si="11"/>
        <v>Complete</v>
      </c>
    </row>
    <row r="324" spans="1:14" ht="40.5" customHeight="1">
      <c r="A324" s="6">
        <v>323</v>
      </c>
      <c r="B324" s="6" t="s">
        <v>746</v>
      </c>
      <c r="C324" s="6" t="s">
        <v>747</v>
      </c>
      <c r="D324" s="6" t="s">
        <v>86</v>
      </c>
      <c r="E324" s="6" t="s">
        <v>87</v>
      </c>
      <c r="F324" s="7" t="s">
        <v>103</v>
      </c>
      <c r="G324" s="7" t="s">
        <v>114</v>
      </c>
      <c r="H324" s="7"/>
      <c r="I324" s="7"/>
      <c r="J324" s="7" t="s">
        <v>752</v>
      </c>
      <c r="K324" s="7" t="s">
        <v>753</v>
      </c>
      <c r="L324" s="7" t="s">
        <v>132</v>
      </c>
      <c r="M324" s="8" t="str">
        <f t="shared" si="10"/>
        <v>NA</v>
      </c>
      <c r="N324" s="8" t="str">
        <f t="shared" si="11"/>
        <v>Complete</v>
      </c>
    </row>
    <row r="325" spans="1:14" ht="40.5" customHeight="1">
      <c r="A325" s="6">
        <v>324</v>
      </c>
      <c r="B325" s="6" t="s">
        <v>746</v>
      </c>
      <c r="C325" s="6" t="s">
        <v>747</v>
      </c>
      <c r="D325" s="6" t="s">
        <v>92</v>
      </c>
      <c r="E325" s="6" t="s">
        <v>93</v>
      </c>
      <c r="F325" s="7" t="s">
        <v>103</v>
      </c>
      <c r="G325" s="7" t="s">
        <v>114</v>
      </c>
      <c r="H325" s="7"/>
      <c r="I325" s="7"/>
      <c r="J325" s="7" t="s">
        <v>754</v>
      </c>
      <c r="K325" s="7" t="s">
        <v>755</v>
      </c>
      <c r="L325" s="7" t="s">
        <v>132</v>
      </c>
      <c r="M325" s="8" t="str">
        <f t="shared" si="10"/>
        <v>NA</v>
      </c>
      <c r="N325" s="8" t="str">
        <f t="shared" si="11"/>
        <v>Complete</v>
      </c>
    </row>
    <row r="326" spans="1:14" ht="40.5" customHeight="1">
      <c r="A326" s="6">
        <v>325</v>
      </c>
      <c r="B326" s="6" t="s">
        <v>746</v>
      </c>
      <c r="C326" s="6" t="s">
        <v>747</v>
      </c>
      <c r="D326" s="6" t="s">
        <v>97</v>
      </c>
      <c r="E326" s="6" t="s">
        <v>98</v>
      </c>
      <c r="F326" s="7" t="s">
        <v>103</v>
      </c>
      <c r="G326" s="7" t="s">
        <v>114</v>
      </c>
      <c r="H326" s="7"/>
      <c r="I326" s="7"/>
      <c r="J326" s="7" t="s">
        <v>756</v>
      </c>
      <c r="K326" s="7" t="s">
        <v>757</v>
      </c>
      <c r="L326" s="7" t="s">
        <v>81</v>
      </c>
      <c r="M326" s="8" t="str">
        <f t="shared" si="10"/>
        <v>NA</v>
      </c>
      <c r="N326" s="8" t="str">
        <f t="shared" si="11"/>
        <v>Complete</v>
      </c>
    </row>
    <row r="327" spans="1:14" ht="40.5" customHeight="1">
      <c r="A327" s="6">
        <v>326</v>
      </c>
      <c r="B327" s="6" t="s">
        <v>746</v>
      </c>
      <c r="C327" s="6" t="s">
        <v>747</v>
      </c>
      <c r="D327" s="6" t="s">
        <v>101</v>
      </c>
      <c r="E327" s="6" t="s">
        <v>102</v>
      </c>
      <c r="F327" s="7" t="s">
        <v>103</v>
      </c>
      <c r="G327" s="7" t="s">
        <v>114</v>
      </c>
      <c r="H327" s="7"/>
      <c r="I327" s="7"/>
      <c r="J327" s="7" t="s">
        <v>758</v>
      </c>
      <c r="K327" s="7" t="s">
        <v>759</v>
      </c>
      <c r="L327" s="7" t="s">
        <v>81</v>
      </c>
      <c r="M327" s="8" t="str">
        <f t="shared" si="10"/>
        <v>NA</v>
      </c>
      <c r="N327" s="8" t="str">
        <f t="shared" si="11"/>
        <v>Complete</v>
      </c>
    </row>
    <row r="328" spans="1:14" ht="40.5" customHeight="1">
      <c r="A328" s="6">
        <v>327</v>
      </c>
      <c r="B328" s="6" t="s">
        <v>746</v>
      </c>
      <c r="C328" s="6" t="s">
        <v>747</v>
      </c>
      <c r="D328" s="6" t="s">
        <v>107</v>
      </c>
      <c r="E328" s="6" t="s">
        <v>108</v>
      </c>
      <c r="F328" s="7" t="s">
        <v>103</v>
      </c>
      <c r="G328" s="7" t="s">
        <v>114</v>
      </c>
      <c r="H328" s="7"/>
      <c r="I328" s="7"/>
      <c r="J328" s="7" t="s">
        <v>758</v>
      </c>
      <c r="K328" s="7" t="s">
        <v>760</v>
      </c>
      <c r="L328" s="7" t="s">
        <v>132</v>
      </c>
      <c r="M328" s="8" t="str">
        <f t="shared" si="10"/>
        <v>NA</v>
      </c>
      <c r="N328" s="8" t="str">
        <f t="shared" si="11"/>
        <v>Complete</v>
      </c>
    </row>
    <row r="329" spans="1:14" ht="40.5" customHeight="1">
      <c r="A329" s="6">
        <v>328</v>
      </c>
      <c r="B329" s="6" t="s">
        <v>746</v>
      </c>
      <c r="C329" s="6" t="s">
        <v>747</v>
      </c>
      <c r="D329" s="6" t="s">
        <v>112</v>
      </c>
      <c r="E329" s="6" t="s">
        <v>113</v>
      </c>
      <c r="F329" s="7" t="s">
        <v>103</v>
      </c>
      <c r="G329" s="7" t="s">
        <v>114</v>
      </c>
      <c r="H329" s="7"/>
      <c r="I329" s="7"/>
      <c r="J329" s="7" t="s">
        <v>761</v>
      </c>
      <c r="K329" s="7" t="s">
        <v>762</v>
      </c>
      <c r="L329" s="7" t="s">
        <v>132</v>
      </c>
      <c r="M329" s="8" t="str">
        <f t="shared" si="10"/>
        <v>NA</v>
      </c>
      <c r="N329" s="8" t="str">
        <f t="shared" si="11"/>
        <v>Complete</v>
      </c>
    </row>
    <row r="330" spans="1:14" ht="40.5" customHeight="1">
      <c r="A330" s="6">
        <v>329</v>
      </c>
      <c r="B330" s="6" t="s">
        <v>746</v>
      </c>
      <c r="C330" s="6" t="s">
        <v>747</v>
      </c>
      <c r="D330" s="6" t="s">
        <v>117</v>
      </c>
      <c r="E330" s="6" t="s">
        <v>118</v>
      </c>
      <c r="F330" s="7" t="s">
        <v>103</v>
      </c>
      <c r="G330" s="7" t="s">
        <v>114</v>
      </c>
      <c r="H330" s="7"/>
      <c r="I330" s="7"/>
      <c r="J330" s="7" t="s">
        <v>761</v>
      </c>
      <c r="K330" s="7" t="s">
        <v>763</v>
      </c>
      <c r="L330" s="7" t="s">
        <v>132</v>
      </c>
      <c r="M330" s="8" t="str">
        <f t="shared" si="10"/>
        <v>NA</v>
      </c>
      <c r="N330" s="8" t="str">
        <f t="shared" si="11"/>
        <v>Complete</v>
      </c>
    </row>
    <row r="331" spans="1:14" ht="40.5" customHeight="1">
      <c r="A331" s="6">
        <v>330</v>
      </c>
      <c r="B331" s="6" t="s">
        <v>746</v>
      </c>
      <c r="C331" s="6" t="s">
        <v>747</v>
      </c>
      <c r="D331" s="6" t="s">
        <v>122</v>
      </c>
      <c r="E331" s="6" t="s">
        <v>123</v>
      </c>
      <c r="F331" s="7" t="s">
        <v>103</v>
      </c>
      <c r="G331" s="7" t="s">
        <v>114</v>
      </c>
      <c r="H331" s="7"/>
      <c r="I331" s="7"/>
      <c r="J331" s="7" t="s">
        <v>761</v>
      </c>
      <c r="K331" s="7" t="s">
        <v>764</v>
      </c>
      <c r="L331" s="7" t="s">
        <v>132</v>
      </c>
      <c r="M331" s="8" t="str">
        <f t="shared" si="10"/>
        <v>NA</v>
      </c>
      <c r="N331" s="8" t="str">
        <f t="shared" si="11"/>
        <v>Complete</v>
      </c>
    </row>
    <row r="332" spans="1:14" ht="27" customHeight="1">
      <c r="A332" s="6">
        <v>331</v>
      </c>
      <c r="B332" s="6" t="s">
        <v>765</v>
      </c>
      <c r="C332" s="6" t="s">
        <v>766</v>
      </c>
      <c r="D332" s="6" t="s">
        <v>75</v>
      </c>
      <c r="E332" s="6" t="s">
        <v>76</v>
      </c>
      <c r="F332" s="7" t="s">
        <v>77</v>
      </c>
      <c r="G332" s="7"/>
      <c r="H332" s="7" t="s">
        <v>78</v>
      </c>
      <c r="I332" s="7"/>
      <c r="J332" s="7" t="s">
        <v>767</v>
      </c>
      <c r="K332" s="7" t="s">
        <v>768</v>
      </c>
      <c r="L332" s="7" t="s">
        <v>81</v>
      </c>
      <c r="M332" s="8" t="str">
        <f t="shared" si="10"/>
        <v>D</v>
      </c>
      <c r="N332" s="8" t="str">
        <f t="shared" si="11"/>
        <v>Complete</v>
      </c>
    </row>
    <row r="333" spans="1:14" ht="27" customHeight="1">
      <c r="A333" s="6">
        <v>332</v>
      </c>
      <c r="B333" s="6" t="s">
        <v>765</v>
      </c>
      <c r="C333" s="6" t="s">
        <v>766</v>
      </c>
      <c r="D333" s="6" t="s">
        <v>82</v>
      </c>
      <c r="E333" s="6" t="s">
        <v>83</v>
      </c>
      <c r="F333" s="7" t="s">
        <v>77</v>
      </c>
      <c r="G333" s="7"/>
      <c r="H333" s="7" t="s">
        <v>88</v>
      </c>
      <c r="I333" s="7" t="s">
        <v>89</v>
      </c>
      <c r="J333" s="7" t="s">
        <v>769</v>
      </c>
      <c r="K333" s="7" t="s">
        <v>770</v>
      </c>
      <c r="L333" s="7" t="s">
        <v>81</v>
      </c>
      <c r="M333" s="8" t="str">
        <f t="shared" si="10"/>
        <v>R</v>
      </c>
      <c r="N333" s="8" t="str">
        <f t="shared" si="11"/>
        <v>Complete</v>
      </c>
    </row>
    <row r="334" spans="1:14" ht="40.5" customHeight="1">
      <c r="A334" s="6">
        <v>333</v>
      </c>
      <c r="B334" s="6" t="s">
        <v>765</v>
      </c>
      <c r="C334" s="6" t="s">
        <v>766</v>
      </c>
      <c r="D334" s="6" t="s">
        <v>86</v>
      </c>
      <c r="E334" s="6" t="s">
        <v>87</v>
      </c>
      <c r="F334" s="7" t="s">
        <v>77</v>
      </c>
      <c r="G334" s="7"/>
      <c r="H334" s="7" t="s">
        <v>78</v>
      </c>
      <c r="I334" s="7"/>
      <c r="J334" s="7" t="s">
        <v>771</v>
      </c>
      <c r="K334" s="7" t="s">
        <v>772</v>
      </c>
      <c r="L334" s="7" t="s">
        <v>81</v>
      </c>
      <c r="M334" s="8" t="str">
        <f t="shared" si="10"/>
        <v>D</v>
      </c>
      <c r="N334" s="8" t="str">
        <f t="shared" si="11"/>
        <v>Complete</v>
      </c>
    </row>
    <row r="335" spans="1:14" ht="27" customHeight="1">
      <c r="A335" s="6">
        <v>334</v>
      </c>
      <c r="B335" s="6" t="s">
        <v>765</v>
      </c>
      <c r="C335" s="6" t="s">
        <v>766</v>
      </c>
      <c r="D335" s="6" t="s">
        <v>92</v>
      </c>
      <c r="E335" s="6" t="s">
        <v>93</v>
      </c>
      <c r="F335" s="7" t="s">
        <v>77</v>
      </c>
      <c r="G335" s="7"/>
      <c r="H335" s="7" t="s">
        <v>94</v>
      </c>
      <c r="I335" s="7"/>
      <c r="J335" s="7" t="s">
        <v>773</v>
      </c>
      <c r="K335" s="7" t="s">
        <v>774</v>
      </c>
      <c r="L335" s="7" t="s">
        <v>81</v>
      </c>
      <c r="M335" s="8" t="str">
        <f t="shared" si="10"/>
        <v>U</v>
      </c>
      <c r="N335" s="8" t="str">
        <f t="shared" si="11"/>
        <v>Complete</v>
      </c>
    </row>
    <row r="336" spans="1:14" ht="27" customHeight="1">
      <c r="A336" s="6">
        <v>335</v>
      </c>
      <c r="B336" s="6" t="s">
        <v>765</v>
      </c>
      <c r="C336" s="6" t="s">
        <v>766</v>
      </c>
      <c r="D336" s="6" t="s">
        <v>97</v>
      </c>
      <c r="E336" s="6" t="s">
        <v>98</v>
      </c>
      <c r="F336" s="7" t="s">
        <v>77</v>
      </c>
      <c r="G336" s="7"/>
      <c r="H336" s="7" t="s">
        <v>94</v>
      </c>
      <c r="I336" s="7"/>
      <c r="J336" s="7" t="s">
        <v>775</v>
      </c>
      <c r="K336" s="7" t="s">
        <v>776</v>
      </c>
      <c r="L336" s="7" t="s">
        <v>81</v>
      </c>
      <c r="M336" s="8" t="str">
        <f t="shared" si="10"/>
        <v>U</v>
      </c>
      <c r="N336" s="8" t="str">
        <f t="shared" si="11"/>
        <v>Complete</v>
      </c>
    </row>
    <row r="337" spans="1:14" ht="40.5" customHeight="1">
      <c r="A337" s="6">
        <v>336</v>
      </c>
      <c r="B337" s="6" t="s">
        <v>765</v>
      </c>
      <c r="C337" s="6" t="s">
        <v>766</v>
      </c>
      <c r="D337" s="6" t="s">
        <v>101</v>
      </c>
      <c r="E337" s="6" t="s">
        <v>102</v>
      </c>
      <c r="F337" s="7" t="s">
        <v>103</v>
      </c>
      <c r="G337" s="7" t="s">
        <v>104</v>
      </c>
      <c r="H337" s="7"/>
      <c r="I337" s="7"/>
      <c r="J337" s="7" t="s">
        <v>777</v>
      </c>
      <c r="K337" s="7" t="s">
        <v>778</v>
      </c>
      <c r="L337" s="7" t="s">
        <v>81</v>
      </c>
      <c r="M337" s="8" t="str">
        <f t="shared" si="10"/>
        <v>NA</v>
      </c>
      <c r="N337" s="8" t="str">
        <f t="shared" si="11"/>
        <v>Complete</v>
      </c>
    </row>
    <row r="338" spans="1:14" ht="40.5" customHeight="1">
      <c r="A338" s="6">
        <v>337</v>
      </c>
      <c r="B338" s="6" t="s">
        <v>765</v>
      </c>
      <c r="C338" s="6" t="s">
        <v>766</v>
      </c>
      <c r="D338" s="6" t="s">
        <v>107</v>
      </c>
      <c r="E338" s="6" t="s">
        <v>108</v>
      </c>
      <c r="F338" s="7" t="s">
        <v>103</v>
      </c>
      <c r="G338" s="7" t="s">
        <v>104</v>
      </c>
      <c r="H338" s="7"/>
      <c r="I338" s="7"/>
      <c r="J338" s="7" t="s">
        <v>779</v>
      </c>
      <c r="K338" s="7" t="s">
        <v>505</v>
      </c>
      <c r="L338" s="7" t="s">
        <v>81</v>
      </c>
      <c r="M338" s="8" t="str">
        <f t="shared" si="10"/>
        <v>NA</v>
      </c>
      <c r="N338" s="8" t="str">
        <f t="shared" si="11"/>
        <v>Complete</v>
      </c>
    </row>
    <row r="339" spans="1:14" ht="27" customHeight="1">
      <c r="A339" s="6">
        <v>338</v>
      </c>
      <c r="B339" s="6" t="s">
        <v>765</v>
      </c>
      <c r="C339" s="6" t="s">
        <v>766</v>
      </c>
      <c r="D339" s="6" t="s">
        <v>112</v>
      </c>
      <c r="E339" s="6" t="s">
        <v>113</v>
      </c>
      <c r="F339" s="7" t="s">
        <v>103</v>
      </c>
      <c r="G339" s="7" t="s">
        <v>114</v>
      </c>
      <c r="H339" s="7"/>
      <c r="I339" s="7"/>
      <c r="J339" s="7" t="s">
        <v>780</v>
      </c>
      <c r="K339" s="7" t="s">
        <v>781</v>
      </c>
      <c r="L339" s="7" t="s">
        <v>132</v>
      </c>
      <c r="M339" s="8" t="str">
        <f t="shared" si="10"/>
        <v>NA</v>
      </c>
      <c r="N339" s="8" t="str">
        <f t="shared" si="11"/>
        <v>Complete</v>
      </c>
    </row>
    <row r="340" spans="1:14" ht="40.5" customHeight="1">
      <c r="A340" s="6">
        <v>339</v>
      </c>
      <c r="B340" s="6" t="s">
        <v>765</v>
      </c>
      <c r="C340" s="6" t="s">
        <v>766</v>
      </c>
      <c r="D340" s="6" t="s">
        <v>117</v>
      </c>
      <c r="E340" s="6" t="s">
        <v>118</v>
      </c>
      <c r="F340" s="7" t="s">
        <v>103</v>
      </c>
      <c r="G340" s="7" t="s">
        <v>104</v>
      </c>
      <c r="H340" s="7"/>
      <c r="I340" s="7"/>
      <c r="J340" s="7" t="s">
        <v>782</v>
      </c>
      <c r="K340" s="7" t="s">
        <v>783</v>
      </c>
      <c r="L340" s="7" t="s">
        <v>81</v>
      </c>
      <c r="M340" s="8" t="str">
        <f t="shared" si="10"/>
        <v>NA</v>
      </c>
      <c r="N340" s="8" t="str">
        <f t="shared" si="11"/>
        <v>Complete</v>
      </c>
    </row>
    <row r="341" spans="1:14" ht="40.5" customHeight="1">
      <c r="A341" s="6">
        <v>340</v>
      </c>
      <c r="B341" s="6" t="s">
        <v>765</v>
      </c>
      <c r="C341" s="6" t="s">
        <v>766</v>
      </c>
      <c r="D341" s="6" t="s">
        <v>122</v>
      </c>
      <c r="E341" s="6" t="s">
        <v>123</v>
      </c>
      <c r="F341" s="7" t="s">
        <v>103</v>
      </c>
      <c r="G341" s="7" t="s">
        <v>104</v>
      </c>
      <c r="H341" s="7"/>
      <c r="I341" s="7"/>
      <c r="J341" s="7" t="s">
        <v>784</v>
      </c>
      <c r="K341" s="7" t="s">
        <v>785</v>
      </c>
      <c r="L341" s="7" t="s">
        <v>81</v>
      </c>
      <c r="M341" s="8" t="str">
        <f t="shared" si="10"/>
        <v>NA</v>
      </c>
      <c r="N341" s="8" t="str">
        <f t="shared" si="11"/>
        <v>Complete</v>
      </c>
    </row>
    <row r="342" spans="1:14" ht="27" customHeight="1">
      <c r="A342" s="6">
        <v>341</v>
      </c>
      <c r="B342" s="6" t="s">
        <v>786</v>
      </c>
      <c r="C342" s="6" t="s">
        <v>787</v>
      </c>
      <c r="D342" s="6" t="s">
        <v>75</v>
      </c>
      <c r="E342" s="6" t="s">
        <v>76</v>
      </c>
      <c r="F342" s="7" t="s">
        <v>103</v>
      </c>
      <c r="G342" s="7" t="s">
        <v>104</v>
      </c>
      <c r="H342" s="7"/>
      <c r="I342" s="7"/>
      <c r="J342" s="7" t="s">
        <v>788</v>
      </c>
      <c r="K342" s="7" t="s">
        <v>789</v>
      </c>
      <c r="L342" s="7" t="s">
        <v>111</v>
      </c>
      <c r="M342" s="8" t="str">
        <f t="shared" si="10"/>
        <v>NA</v>
      </c>
      <c r="N342" s="8" t="str">
        <f t="shared" si="11"/>
        <v>Complete</v>
      </c>
    </row>
    <row r="343" spans="1:14" ht="27" customHeight="1">
      <c r="A343" s="6">
        <v>342</v>
      </c>
      <c r="B343" s="6" t="s">
        <v>786</v>
      </c>
      <c r="C343" s="6" t="s">
        <v>787</v>
      </c>
      <c r="D343" s="6" t="s">
        <v>82</v>
      </c>
      <c r="E343" s="6" t="s">
        <v>83</v>
      </c>
      <c r="F343" s="7" t="s">
        <v>77</v>
      </c>
      <c r="G343" s="7"/>
      <c r="H343" s="7" t="s">
        <v>88</v>
      </c>
      <c r="I343" s="7" t="s">
        <v>89</v>
      </c>
      <c r="J343" s="7" t="s">
        <v>790</v>
      </c>
      <c r="K343" s="7" t="s">
        <v>791</v>
      </c>
      <c r="L343" s="7" t="s">
        <v>81</v>
      </c>
      <c r="M343" s="8" t="str">
        <f t="shared" si="10"/>
        <v>R</v>
      </c>
      <c r="N343" s="8" t="str">
        <f t="shared" si="11"/>
        <v>Complete</v>
      </c>
    </row>
    <row r="344" spans="1:14" ht="40.5" customHeight="1">
      <c r="A344" s="6">
        <v>343</v>
      </c>
      <c r="B344" s="6" t="s">
        <v>786</v>
      </c>
      <c r="C344" s="6" t="s">
        <v>787</v>
      </c>
      <c r="D344" s="6" t="s">
        <v>86</v>
      </c>
      <c r="E344" s="6" t="s">
        <v>87</v>
      </c>
      <c r="F344" s="7" t="s">
        <v>103</v>
      </c>
      <c r="G344" s="7" t="s">
        <v>114</v>
      </c>
      <c r="H344" s="7"/>
      <c r="I344" s="7"/>
      <c r="J344" s="7" t="s">
        <v>792</v>
      </c>
      <c r="K344" s="7" t="s">
        <v>793</v>
      </c>
      <c r="L344" s="7" t="s">
        <v>132</v>
      </c>
      <c r="M344" s="8" t="str">
        <f t="shared" si="10"/>
        <v>NA</v>
      </c>
      <c r="N344" s="8" t="str">
        <f t="shared" si="11"/>
        <v>Complete</v>
      </c>
    </row>
    <row r="345" spans="1:14" ht="40.5" customHeight="1">
      <c r="A345" s="6">
        <v>344</v>
      </c>
      <c r="B345" s="6" t="s">
        <v>786</v>
      </c>
      <c r="C345" s="6" t="s">
        <v>787</v>
      </c>
      <c r="D345" s="6" t="s">
        <v>92</v>
      </c>
      <c r="E345" s="6" t="s">
        <v>93</v>
      </c>
      <c r="F345" s="7" t="s">
        <v>103</v>
      </c>
      <c r="G345" s="7" t="s">
        <v>104</v>
      </c>
      <c r="H345" s="7"/>
      <c r="I345" s="7"/>
      <c r="J345" s="7" t="s">
        <v>794</v>
      </c>
      <c r="K345" s="7" t="s">
        <v>795</v>
      </c>
      <c r="L345" s="7" t="s">
        <v>111</v>
      </c>
      <c r="M345" s="8" t="str">
        <f t="shared" si="10"/>
        <v>NA</v>
      </c>
      <c r="N345" s="8" t="str">
        <f t="shared" si="11"/>
        <v>Complete</v>
      </c>
    </row>
    <row r="346" spans="1:14" ht="27" customHeight="1">
      <c r="A346" s="6">
        <v>345</v>
      </c>
      <c r="B346" s="6" t="s">
        <v>786</v>
      </c>
      <c r="C346" s="6" t="s">
        <v>787</v>
      </c>
      <c r="D346" s="6" t="s">
        <v>97</v>
      </c>
      <c r="E346" s="6" t="s">
        <v>98</v>
      </c>
      <c r="F346" s="7" t="s">
        <v>77</v>
      </c>
      <c r="G346" s="7"/>
      <c r="H346" s="7" t="s">
        <v>88</v>
      </c>
      <c r="I346" s="7" t="s">
        <v>89</v>
      </c>
      <c r="J346" s="7" t="s">
        <v>796</v>
      </c>
      <c r="K346" s="7" t="s">
        <v>797</v>
      </c>
      <c r="L346" s="7" t="s">
        <v>111</v>
      </c>
      <c r="M346" s="8" t="str">
        <f t="shared" si="10"/>
        <v>R</v>
      </c>
      <c r="N346" s="8" t="str">
        <f t="shared" si="11"/>
        <v>Complete</v>
      </c>
    </row>
    <row r="347" spans="1:14" ht="40.5" customHeight="1">
      <c r="A347" s="6">
        <v>346</v>
      </c>
      <c r="B347" s="6" t="s">
        <v>786</v>
      </c>
      <c r="C347" s="6" t="s">
        <v>787</v>
      </c>
      <c r="D347" s="6" t="s">
        <v>101</v>
      </c>
      <c r="E347" s="6" t="s">
        <v>102</v>
      </c>
      <c r="F347" s="7" t="s">
        <v>103</v>
      </c>
      <c r="G347" s="7" t="s">
        <v>114</v>
      </c>
      <c r="H347" s="7"/>
      <c r="I347" s="7"/>
      <c r="J347" s="7" t="s">
        <v>798</v>
      </c>
      <c r="K347" s="7" t="s">
        <v>799</v>
      </c>
      <c r="L347" s="7" t="s">
        <v>81</v>
      </c>
      <c r="M347" s="8" t="str">
        <f t="shared" si="10"/>
        <v>NA</v>
      </c>
      <c r="N347" s="8" t="str">
        <f t="shared" si="11"/>
        <v>Complete</v>
      </c>
    </row>
    <row r="348" spans="1:14" ht="40.5" customHeight="1">
      <c r="A348" s="6">
        <v>347</v>
      </c>
      <c r="B348" s="6" t="s">
        <v>786</v>
      </c>
      <c r="C348" s="6" t="s">
        <v>787</v>
      </c>
      <c r="D348" s="6" t="s">
        <v>107</v>
      </c>
      <c r="E348" s="6" t="s">
        <v>108</v>
      </c>
      <c r="F348" s="7" t="s">
        <v>103</v>
      </c>
      <c r="G348" s="7" t="s">
        <v>114</v>
      </c>
      <c r="H348" s="7"/>
      <c r="I348" s="7"/>
      <c r="J348" s="7" t="s">
        <v>792</v>
      </c>
      <c r="K348" s="7" t="s">
        <v>800</v>
      </c>
      <c r="L348" s="7" t="s">
        <v>81</v>
      </c>
      <c r="M348" s="8" t="str">
        <f t="shared" si="10"/>
        <v>NA</v>
      </c>
      <c r="N348" s="8" t="str">
        <f t="shared" si="11"/>
        <v>Complete</v>
      </c>
    </row>
    <row r="349" spans="1:14" ht="40.5" customHeight="1">
      <c r="A349" s="6">
        <v>348</v>
      </c>
      <c r="B349" s="6" t="s">
        <v>786</v>
      </c>
      <c r="C349" s="6" t="s">
        <v>787</v>
      </c>
      <c r="D349" s="6" t="s">
        <v>112</v>
      </c>
      <c r="E349" s="6" t="s">
        <v>113</v>
      </c>
      <c r="F349" s="7" t="s">
        <v>103</v>
      </c>
      <c r="G349" s="7" t="s">
        <v>114</v>
      </c>
      <c r="H349" s="7"/>
      <c r="I349" s="7"/>
      <c r="J349" s="7" t="s">
        <v>801</v>
      </c>
      <c r="K349" s="7" t="s">
        <v>762</v>
      </c>
      <c r="L349" s="7" t="s">
        <v>132</v>
      </c>
      <c r="M349" s="8" t="str">
        <f t="shared" si="10"/>
        <v>NA</v>
      </c>
      <c r="N349" s="8" t="str">
        <f t="shared" si="11"/>
        <v>Complete</v>
      </c>
    </row>
    <row r="350" spans="1:14" ht="40.5" customHeight="1">
      <c r="A350" s="6">
        <v>349</v>
      </c>
      <c r="B350" s="6" t="s">
        <v>786</v>
      </c>
      <c r="C350" s="6" t="s">
        <v>787</v>
      </c>
      <c r="D350" s="6" t="s">
        <v>117</v>
      </c>
      <c r="E350" s="6" t="s">
        <v>118</v>
      </c>
      <c r="F350" s="7" t="s">
        <v>103</v>
      </c>
      <c r="G350" s="7" t="s">
        <v>114</v>
      </c>
      <c r="H350" s="7"/>
      <c r="I350" s="7"/>
      <c r="J350" s="7" t="s">
        <v>792</v>
      </c>
      <c r="K350" s="7" t="s">
        <v>802</v>
      </c>
      <c r="L350" s="7" t="s">
        <v>132</v>
      </c>
      <c r="M350" s="8" t="str">
        <f t="shared" si="10"/>
        <v>NA</v>
      </c>
      <c r="N350" s="8" t="str">
        <f t="shared" si="11"/>
        <v>Complete</v>
      </c>
    </row>
    <row r="351" spans="1:14" ht="40.5" customHeight="1">
      <c r="A351" s="6">
        <v>350</v>
      </c>
      <c r="B351" s="6" t="s">
        <v>786</v>
      </c>
      <c r="C351" s="6" t="s">
        <v>787</v>
      </c>
      <c r="D351" s="6" t="s">
        <v>122</v>
      </c>
      <c r="E351" s="6" t="s">
        <v>123</v>
      </c>
      <c r="F351" s="7" t="s">
        <v>103</v>
      </c>
      <c r="G351" s="7" t="s">
        <v>114</v>
      </c>
      <c r="H351" s="7"/>
      <c r="I351" s="7"/>
      <c r="J351" s="7" t="s">
        <v>803</v>
      </c>
      <c r="K351" s="7" t="s">
        <v>764</v>
      </c>
      <c r="L351" s="7" t="s">
        <v>132</v>
      </c>
      <c r="M351" s="8" t="str">
        <f t="shared" si="10"/>
        <v>NA</v>
      </c>
      <c r="N351" s="8" t="str">
        <f t="shared" si="11"/>
        <v>Complete</v>
      </c>
    </row>
    <row r="352" spans="1:14" ht="27" customHeight="1">
      <c r="A352" s="6">
        <v>351</v>
      </c>
      <c r="B352" s="6" t="s">
        <v>804</v>
      </c>
      <c r="C352" s="6" t="s">
        <v>805</v>
      </c>
      <c r="D352" s="6" t="s">
        <v>75</v>
      </c>
      <c r="E352" s="6" t="s">
        <v>76</v>
      </c>
      <c r="F352" s="7" t="s">
        <v>77</v>
      </c>
      <c r="G352" s="7"/>
      <c r="H352" s="7" t="s">
        <v>78</v>
      </c>
      <c r="I352" s="7"/>
      <c r="J352" s="7" t="s">
        <v>806</v>
      </c>
      <c r="K352" s="7" t="s">
        <v>807</v>
      </c>
      <c r="L352" s="7" t="s">
        <v>81</v>
      </c>
      <c r="M352" s="8" t="str">
        <f t="shared" si="10"/>
        <v>D</v>
      </c>
      <c r="N352" s="8" t="str">
        <f t="shared" si="11"/>
        <v>Complete</v>
      </c>
    </row>
    <row r="353" spans="1:14" ht="27" customHeight="1">
      <c r="A353" s="6">
        <v>352</v>
      </c>
      <c r="B353" s="6" t="s">
        <v>804</v>
      </c>
      <c r="C353" s="6" t="s">
        <v>805</v>
      </c>
      <c r="D353" s="6" t="s">
        <v>82</v>
      </c>
      <c r="E353" s="6" t="s">
        <v>83</v>
      </c>
      <c r="F353" s="7" t="s">
        <v>77</v>
      </c>
      <c r="G353" s="7"/>
      <c r="H353" s="7" t="s">
        <v>88</v>
      </c>
      <c r="I353" s="7" t="s">
        <v>89</v>
      </c>
      <c r="J353" s="7" t="s">
        <v>808</v>
      </c>
      <c r="K353" s="7" t="s">
        <v>809</v>
      </c>
      <c r="L353" s="7" t="s">
        <v>81</v>
      </c>
      <c r="M353" s="8" t="str">
        <f t="shared" si="10"/>
        <v>R</v>
      </c>
      <c r="N353" s="8" t="str">
        <f t="shared" si="11"/>
        <v>Complete</v>
      </c>
    </row>
    <row r="354" spans="1:14" ht="27" customHeight="1">
      <c r="A354" s="6">
        <v>353</v>
      </c>
      <c r="B354" s="6" t="s">
        <v>804</v>
      </c>
      <c r="C354" s="6" t="s">
        <v>805</v>
      </c>
      <c r="D354" s="6" t="s">
        <v>86</v>
      </c>
      <c r="E354" s="6" t="s">
        <v>87</v>
      </c>
      <c r="F354" s="7" t="s">
        <v>77</v>
      </c>
      <c r="G354" s="7"/>
      <c r="H354" s="7" t="s">
        <v>78</v>
      </c>
      <c r="I354" s="7"/>
      <c r="J354" s="7" t="s">
        <v>810</v>
      </c>
      <c r="K354" s="7" t="s">
        <v>811</v>
      </c>
      <c r="L354" s="7" t="s">
        <v>81</v>
      </c>
      <c r="M354" s="8" t="str">
        <f t="shared" si="10"/>
        <v>D</v>
      </c>
      <c r="N354" s="8" t="str">
        <f t="shared" si="11"/>
        <v>Complete</v>
      </c>
    </row>
    <row r="355" spans="1:14" ht="27" customHeight="1">
      <c r="A355" s="6">
        <v>354</v>
      </c>
      <c r="B355" s="6" t="s">
        <v>804</v>
      </c>
      <c r="C355" s="6" t="s">
        <v>805</v>
      </c>
      <c r="D355" s="6" t="s">
        <v>92</v>
      </c>
      <c r="E355" s="6" t="s">
        <v>93</v>
      </c>
      <c r="F355" s="7" t="s">
        <v>77</v>
      </c>
      <c r="G355" s="7"/>
      <c r="H355" s="7" t="s">
        <v>94</v>
      </c>
      <c r="I355" s="7"/>
      <c r="J355" s="7" t="s">
        <v>812</v>
      </c>
      <c r="K355" s="7" t="s">
        <v>539</v>
      </c>
      <c r="L355" s="7" t="s">
        <v>81</v>
      </c>
      <c r="M355" s="8" t="str">
        <f t="shared" si="10"/>
        <v>U</v>
      </c>
      <c r="N355" s="8" t="str">
        <f t="shared" si="11"/>
        <v>Complete</v>
      </c>
    </row>
    <row r="356" spans="1:14" ht="27" customHeight="1">
      <c r="A356" s="6">
        <v>355</v>
      </c>
      <c r="B356" s="6" t="s">
        <v>804</v>
      </c>
      <c r="C356" s="6" t="s">
        <v>805</v>
      </c>
      <c r="D356" s="6" t="s">
        <v>97</v>
      </c>
      <c r="E356" s="6" t="s">
        <v>98</v>
      </c>
      <c r="F356" s="7" t="s">
        <v>77</v>
      </c>
      <c r="G356" s="7"/>
      <c r="H356" s="7" t="s">
        <v>94</v>
      </c>
      <c r="I356" s="7"/>
      <c r="J356" s="7" t="s">
        <v>813</v>
      </c>
      <c r="K356" s="7" t="s">
        <v>814</v>
      </c>
      <c r="L356" s="7" t="s">
        <v>81</v>
      </c>
      <c r="M356" s="8" t="str">
        <f t="shared" si="10"/>
        <v>U</v>
      </c>
      <c r="N356" s="8" t="str">
        <f t="shared" si="11"/>
        <v>Complete</v>
      </c>
    </row>
    <row r="357" spans="1:14" ht="40.5" customHeight="1">
      <c r="A357" s="6">
        <v>356</v>
      </c>
      <c r="B357" s="6" t="s">
        <v>804</v>
      </c>
      <c r="C357" s="6" t="s">
        <v>805</v>
      </c>
      <c r="D357" s="6" t="s">
        <v>101</v>
      </c>
      <c r="E357" s="6" t="s">
        <v>102</v>
      </c>
      <c r="F357" s="7" t="s">
        <v>103</v>
      </c>
      <c r="G357" s="7" t="s">
        <v>104</v>
      </c>
      <c r="H357" s="7"/>
      <c r="I357" s="7"/>
      <c r="J357" s="7" t="s">
        <v>815</v>
      </c>
      <c r="K357" s="7" t="s">
        <v>816</v>
      </c>
      <c r="L357" s="7" t="s">
        <v>81</v>
      </c>
      <c r="M357" s="8" t="str">
        <f t="shared" si="10"/>
        <v>NA</v>
      </c>
      <c r="N357" s="8" t="str">
        <f t="shared" si="11"/>
        <v>Complete</v>
      </c>
    </row>
    <row r="358" spans="1:14" ht="40.5" customHeight="1">
      <c r="A358" s="6">
        <v>357</v>
      </c>
      <c r="B358" s="6" t="s">
        <v>804</v>
      </c>
      <c r="C358" s="6" t="s">
        <v>805</v>
      </c>
      <c r="D358" s="6" t="s">
        <v>107</v>
      </c>
      <c r="E358" s="6" t="s">
        <v>108</v>
      </c>
      <c r="F358" s="7" t="s">
        <v>103</v>
      </c>
      <c r="G358" s="7" t="s">
        <v>104</v>
      </c>
      <c r="H358" s="7"/>
      <c r="I358" s="7"/>
      <c r="J358" s="7" t="s">
        <v>817</v>
      </c>
      <c r="K358" s="7" t="s">
        <v>818</v>
      </c>
      <c r="L358" s="7" t="s">
        <v>81</v>
      </c>
      <c r="M358" s="8" t="str">
        <f t="shared" si="10"/>
        <v>NA</v>
      </c>
      <c r="N358" s="8" t="str">
        <f t="shared" si="11"/>
        <v>Complete</v>
      </c>
    </row>
    <row r="359" spans="1:14" ht="40.5" customHeight="1">
      <c r="A359" s="6">
        <v>358</v>
      </c>
      <c r="B359" s="6" t="s">
        <v>804</v>
      </c>
      <c r="C359" s="6" t="s">
        <v>805</v>
      </c>
      <c r="D359" s="6" t="s">
        <v>112</v>
      </c>
      <c r="E359" s="6" t="s">
        <v>113</v>
      </c>
      <c r="F359" s="7" t="s">
        <v>103</v>
      </c>
      <c r="G359" s="7" t="s">
        <v>114</v>
      </c>
      <c r="H359" s="7"/>
      <c r="I359" s="7"/>
      <c r="J359" s="7" t="s">
        <v>819</v>
      </c>
      <c r="K359" s="7" t="s">
        <v>184</v>
      </c>
      <c r="L359" s="7" t="s">
        <v>132</v>
      </c>
      <c r="M359" s="8" t="str">
        <f t="shared" si="10"/>
        <v>NA</v>
      </c>
      <c r="N359" s="8" t="str">
        <f t="shared" si="11"/>
        <v>Complete</v>
      </c>
    </row>
    <row r="360" spans="1:14" ht="40.5" customHeight="1">
      <c r="A360" s="6">
        <v>359</v>
      </c>
      <c r="B360" s="6" t="s">
        <v>804</v>
      </c>
      <c r="C360" s="6" t="s">
        <v>805</v>
      </c>
      <c r="D360" s="6" t="s">
        <v>117</v>
      </c>
      <c r="E360" s="6" t="s">
        <v>118</v>
      </c>
      <c r="F360" s="7" t="s">
        <v>103</v>
      </c>
      <c r="G360" s="7" t="s">
        <v>104</v>
      </c>
      <c r="H360" s="7"/>
      <c r="I360" s="7"/>
      <c r="J360" s="7" t="s">
        <v>817</v>
      </c>
      <c r="K360" s="7" t="s">
        <v>547</v>
      </c>
      <c r="L360" s="7" t="s">
        <v>81</v>
      </c>
      <c r="M360" s="8" t="str">
        <f t="shared" si="10"/>
        <v>NA</v>
      </c>
      <c r="N360" s="8" t="str">
        <f t="shared" si="11"/>
        <v>Complete</v>
      </c>
    </row>
    <row r="361" spans="1:14" ht="40.5" customHeight="1">
      <c r="A361" s="6">
        <v>360</v>
      </c>
      <c r="B361" s="6" t="s">
        <v>804</v>
      </c>
      <c r="C361" s="6" t="s">
        <v>805</v>
      </c>
      <c r="D361" s="6" t="s">
        <v>122</v>
      </c>
      <c r="E361" s="6" t="s">
        <v>123</v>
      </c>
      <c r="F361" s="7" t="s">
        <v>103</v>
      </c>
      <c r="G361" s="7" t="s">
        <v>104</v>
      </c>
      <c r="H361" s="7"/>
      <c r="I361" s="7"/>
      <c r="J361" s="7" t="s">
        <v>820</v>
      </c>
      <c r="K361" s="7" t="s">
        <v>821</v>
      </c>
      <c r="L361" s="7" t="s">
        <v>111</v>
      </c>
      <c r="M361" s="8" t="str">
        <f t="shared" si="10"/>
        <v>NA</v>
      </c>
      <c r="N361" s="8" t="str">
        <f t="shared" si="11"/>
        <v>Complete</v>
      </c>
    </row>
    <row r="362" spans="1:14" ht="27" customHeight="1">
      <c r="A362" s="6">
        <v>361</v>
      </c>
      <c r="B362" s="6" t="s">
        <v>822</v>
      </c>
      <c r="C362" s="6" t="s">
        <v>823</v>
      </c>
      <c r="D362" s="6" t="s">
        <v>75</v>
      </c>
      <c r="E362" s="6" t="s">
        <v>76</v>
      </c>
      <c r="F362" s="7" t="s">
        <v>77</v>
      </c>
      <c r="G362" s="7"/>
      <c r="H362" s="7" t="s">
        <v>88</v>
      </c>
      <c r="I362" s="7" t="s">
        <v>89</v>
      </c>
      <c r="J362" s="7" t="s">
        <v>824</v>
      </c>
      <c r="K362" s="7" t="s">
        <v>825</v>
      </c>
      <c r="L362" s="7" t="s">
        <v>111</v>
      </c>
      <c r="M362" s="8" t="str">
        <f t="shared" si="10"/>
        <v>R</v>
      </c>
      <c r="N362" s="8" t="str">
        <f t="shared" si="11"/>
        <v>Complete</v>
      </c>
    </row>
    <row r="363" spans="1:14" ht="27" customHeight="1">
      <c r="A363" s="6">
        <v>362</v>
      </c>
      <c r="B363" s="6" t="s">
        <v>822</v>
      </c>
      <c r="C363" s="6" t="s">
        <v>823</v>
      </c>
      <c r="D363" s="6" t="s">
        <v>82</v>
      </c>
      <c r="E363" s="6" t="s">
        <v>83</v>
      </c>
      <c r="F363" s="7" t="s">
        <v>77</v>
      </c>
      <c r="G363" s="7"/>
      <c r="H363" s="7" t="s">
        <v>88</v>
      </c>
      <c r="I363" s="7" t="s">
        <v>89</v>
      </c>
      <c r="J363" s="7" t="s">
        <v>826</v>
      </c>
      <c r="K363" s="7" t="s">
        <v>827</v>
      </c>
      <c r="L363" s="7" t="s">
        <v>81</v>
      </c>
      <c r="M363" s="8" t="str">
        <f t="shared" si="10"/>
        <v>R</v>
      </c>
      <c r="N363" s="8" t="str">
        <f t="shared" si="11"/>
        <v>Complete</v>
      </c>
    </row>
    <row r="364" spans="1:14" ht="27" customHeight="1">
      <c r="A364" s="6">
        <v>363</v>
      </c>
      <c r="B364" s="6" t="s">
        <v>822</v>
      </c>
      <c r="C364" s="6" t="s">
        <v>823</v>
      </c>
      <c r="D364" s="6" t="s">
        <v>86</v>
      </c>
      <c r="E364" s="6" t="s">
        <v>87</v>
      </c>
      <c r="F364" s="7" t="s">
        <v>77</v>
      </c>
      <c r="G364" s="7"/>
      <c r="H364" s="7" t="s">
        <v>78</v>
      </c>
      <c r="I364" s="7"/>
      <c r="J364" s="7" t="s">
        <v>828</v>
      </c>
      <c r="K364" s="7" t="s">
        <v>829</v>
      </c>
      <c r="L364" s="7" t="s">
        <v>81</v>
      </c>
      <c r="M364" s="8" t="str">
        <f t="shared" si="10"/>
        <v>D</v>
      </c>
      <c r="N364" s="8" t="str">
        <f t="shared" si="11"/>
        <v>Complete</v>
      </c>
    </row>
    <row r="365" spans="1:14" ht="40.5" customHeight="1">
      <c r="A365" s="6">
        <v>364</v>
      </c>
      <c r="B365" s="6" t="s">
        <v>822</v>
      </c>
      <c r="C365" s="6" t="s">
        <v>823</v>
      </c>
      <c r="D365" s="6" t="s">
        <v>92</v>
      </c>
      <c r="E365" s="6" t="s">
        <v>93</v>
      </c>
      <c r="F365" s="7" t="s">
        <v>77</v>
      </c>
      <c r="G365" s="7"/>
      <c r="H365" s="7" t="s">
        <v>94</v>
      </c>
      <c r="I365" s="7"/>
      <c r="J365" s="7" t="s">
        <v>830</v>
      </c>
      <c r="K365" s="7" t="s">
        <v>831</v>
      </c>
      <c r="L365" s="7" t="s">
        <v>81</v>
      </c>
      <c r="M365" s="8" t="str">
        <f t="shared" si="10"/>
        <v>U</v>
      </c>
      <c r="N365" s="8" t="str">
        <f t="shared" si="11"/>
        <v>Complete</v>
      </c>
    </row>
    <row r="366" spans="1:14" ht="40.5" customHeight="1">
      <c r="A366" s="6">
        <v>365</v>
      </c>
      <c r="B366" s="6" t="s">
        <v>822</v>
      </c>
      <c r="C366" s="6" t="s">
        <v>823</v>
      </c>
      <c r="D366" s="6" t="s">
        <v>97</v>
      </c>
      <c r="E366" s="6" t="s">
        <v>98</v>
      </c>
      <c r="F366" s="7" t="s">
        <v>77</v>
      </c>
      <c r="G366" s="7"/>
      <c r="H366" s="7" t="s">
        <v>94</v>
      </c>
      <c r="I366" s="7"/>
      <c r="J366" s="7" t="s">
        <v>832</v>
      </c>
      <c r="K366" s="7" t="s">
        <v>833</v>
      </c>
      <c r="L366" s="7" t="s">
        <v>81</v>
      </c>
      <c r="M366" s="8" t="str">
        <f t="shared" si="10"/>
        <v>U</v>
      </c>
      <c r="N366" s="8" t="str">
        <f t="shared" si="11"/>
        <v>Complete</v>
      </c>
    </row>
    <row r="367" spans="1:14" ht="27" customHeight="1">
      <c r="A367" s="6">
        <v>366</v>
      </c>
      <c r="B367" s="6" t="s">
        <v>822</v>
      </c>
      <c r="C367" s="6" t="s">
        <v>823</v>
      </c>
      <c r="D367" s="6" t="s">
        <v>101</v>
      </c>
      <c r="E367" s="6" t="s">
        <v>102</v>
      </c>
      <c r="F367" s="7" t="s">
        <v>103</v>
      </c>
      <c r="G367" s="7" t="s">
        <v>104</v>
      </c>
      <c r="H367" s="7"/>
      <c r="I367" s="7"/>
      <c r="J367" s="7" t="s">
        <v>834</v>
      </c>
      <c r="K367" s="7" t="s">
        <v>835</v>
      </c>
      <c r="L367" s="7" t="s">
        <v>81</v>
      </c>
      <c r="M367" s="8" t="str">
        <f t="shared" si="10"/>
        <v>NA</v>
      </c>
      <c r="N367" s="8" t="str">
        <f t="shared" si="11"/>
        <v>Complete</v>
      </c>
    </row>
    <row r="368" spans="1:14" ht="40.5" customHeight="1">
      <c r="A368" s="6">
        <v>367</v>
      </c>
      <c r="B368" s="6" t="s">
        <v>822</v>
      </c>
      <c r="C368" s="6" t="s">
        <v>823</v>
      </c>
      <c r="D368" s="6" t="s">
        <v>107</v>
      </c>
      <c r="E368" s="6" t="s">
        <v>108</v>
      </c>
      <c r="F368" s="7" t="s">
        <v>103</v>
      </c>
      <c r="G368" s="7" t="s">
        <v>104</v>
      </c>
      <c r="H368" s="7"/>
      <c r="I368" s="7"/>
      <c r="J368" s="7" t="s">
        <v>836</v>
      </c>
      <c r="K368" s="7" t="s">
        <v>837</v>
      </c>
      <c r="L368" s="7" t="s">
        <v>81</v>
      </c>
      <c r="M368" s="8" t="str">
        <f t="shared" si="10"/>
        <v>NA</v>
      </c>
      <c r="N368" s="8" t="str">
        <f t="shared" si="11"/>
        <v>Complete</v>
      </c>
    </row>
    <row r="369" spans="1:14" ht="27" customHeight="1">
      <c r="A369" s="6">
        <v>368</v>
      </c>
      <c r="B369" s="6" t="s">
        <v>822</v>
      </c>
      <c r="C369" s="6" t="s">
        <v>823</v>
      </c>
      <c r="D369" s="6" t="s">
        <v>112</v>
      </c>
      <c r="E369" s="6" t="s">
        <v>113</v>
      </c>
      <c r="F369" s="7" t="s">
        <v>103</v>
      </c>
      <c r="G369" s="7" t="s">
        <v>114</v>
      </c>
      <c r="H369" s="7"/>
      <c r="I369" s="7"/>
      <c r="J369" s="7" t="s">
        <v>838</v>
      </c>
      <c r="K369" s="7" t="s">
        <v>839</v>
      </c>
      <c r="L369" s="7" t="s">
        <v>81</v>
      </c>
      <c r="M369" s="8" t="str">
        <f t="shared" si="10"/>
        <v>NA</v>
      </c>
      <c r="N369" s="8" t="str">
        <f t="shared" si="11"/>
        <v>Complete</v>
      </c>
    </row>
    <row r="370" spans="1:14" ht="40.5" customHeight="1">
      <c r="A370" s="6">
        <v>369</v>
      </c>
      <c r="B370" s="6" t="s">
        <v>822</v>
      </c>
      <c r="C370" s="6" t="s">
        <v>823</v>
      </c>
      <c r="D370" s="6" t="s">
        <v>117</v>
      </c>
      <c r="E370" s="6" t="s">
        <v>118</v>
      </c>
      <c r="F370" s="7" t="s">
        <v>103</v>
      </c>
      <c r="G370" s="7" t="s">
        <v>104</v>
      </c>
      <c r="H370" s="7"/>
      <c r="I370" s="7"/>
      <c r="J370" s="7" t="s">
        <v>840</v>
      </c>
      <c r="K370" s="7" t="s">
        <v>841</v>
      </c>
      <c r="L370" s="7" t="s">
        <v>81</v>
      </c>
      <c r="M370" s="8" t="str">
        <f t="shared" si="10"/>
        <v>NA</v>
      </c>
      <c r="N370" s="8" t="str">
        <f t="shared" si="11"/>
        <v>Complete</v>
      </c>
    </row>
    <row r="371" spans="1:14" ht="40.5" customHeight="1">
      <c r="A371" s="6">
        <v>370</v>
      </c>
      <c r="B371" s="6" t="s">
        <v>822</v>
      </c>
      <c r="C371" s="6" t="s">
        <v>823</v>
      </c>
      <c r="D371" s="6" t="s">
        <v>122</v>
      </c>
      <c r="E371" s="6" t="s">
        <v>123</v>
      </c>
      <c r="F371" s="7" t="s">
        <v>103</v>
      </c>
      <c r="G371" s="7" t="s">
        <v>104</v>
      </c>
      <c r="H371" s="7"/>
      <c r="I371" s="7"/>
      <c r="J371" s="7" t="s">
        <v>842</v>
      </c>
      <c r="K371" s="7" t="s">
        <v>843</v>
      </c>
      <c r="L371" s="7" t="s">
        <v>81</v>
      </c>
      <c r="M371" s="8" t="str">
        <f t="shared" si="10"/>
        <v>NA</v>
      </c>
      <c r="N371" s="8" t="str">
        <f t="shared" si="11"/>
        <v>Complete</v>
      </c>
    </row>
    <row r="372" spans="1:14" ht="27" customHeight="1">
      <c r="A372" s="6">
        <v>371</v>
      </c>
      <c r="B372" s="6" t="s">
        <v>844</v>
      </c>
      <c r="C372" s="6" t="s">
        <v>845</v>
      </c>
      <c r="D372" s="6" t="s">
        <v>75</v>
      </c>
      <c r="E372" s="6" t="s">
        <v>76</v>
      </c>
      <c r="F372" s="7" t="s">
        <v>77</v>
      </c>
      <c r="G372" s="7"/>
      <c r="H372" s="7" t="s">
        <v>78</v>
      </c>
      <c r="I372" s="7"/>
      <c r="J372" s="7" t="s">
        <v>846</v>
      </c>
      <c r="K372" s="7" t="s">
        <v>847</v>
      </c>
      <c r="L372" s="7" t="s">
        <v>132</v>
      </c>
      <c r="M372" s="8" t="str">
        <f t="shared" si="10"/>
        <v>D</v>
      </c>
      <c r="N372" s="8" t="str">
        <f t="shared" si="11"/>
        <v>Complete</v>
      </c>
    </row>
    <row r="373" spans="1:14" ht="40.5" customHeight="1">
      <c r="A373" s="6">
        <v>372</v>
      </c>
      <c r="B373" s="6" t="s">
        <v>844</v>
      </c>
      <c r="C373" s="6" t="s">
        <v>845</v>
      </c>
      <c r="D373" s="6" t="s">
        <v>82</v>
      </c>
      <c r="E373" s="6" t="s">
        <v>83</v>
      </c>
      <c r="F373" s="7" t="s">
        <v>77</v>
      </c>
      <c r="G373" s="7"/>
      <c r="H373" s="7" t="s">
        <v>78</v>
      </c>
      <c r="I373" s="7"/>
      <c r="J373" s="7" t="s">
        <v>848</v>
      </c>
      <c r="K373" s="7" t="s">
        <v>849</v>
      </c>
      <c r="L373" s="7" t="s">
        <v>132</v>
      </c>
      <c r="M373" s="8" t="str">
        <f t="shared" si="10"/>
        <v>D</v>
      </c>
      <c r="N373" s="8" t="str">
        <f t="shared" si="11"/>
        <v>Complete</v>
      </c>
    </row>
    <row r="374" spans="1:14" ht="27" customHeight="1">
      <c r="A374" s="6">
        <v>373</v>
      </c>
      <c r="B374" s="6" t="s">
        <v>844</v>
      </c>
      <c r="C374" s="6" t="s">
        <v>845</v>
      </c>
      <c r="D374" s="6" t="s">
        <v>86</v>
      </c>
      <c r="E374" s="6" t="s">
        <v>87</v>
      </c>
      <c r="F374" s="7" t="s">
        <v>77</v>
      </c>
      <c r="G374" s="7"/>
      <c r="H374" s="7" t="s">
        <v>94</v>
      </c>
      <c r="I374" s="7"/>
      <c r="J374" s="7" t="s">
        <v>850</v>
      </c>
      <c r="K374" s="7" t="s">
        <v>851</v>
      </c>
      <c r="L374" s="7" t="s">
        <v>81</v>
      </c>
      <c r="M374" s="8" t="str">
        <f t="shared" si="10"/>
        <v>U</v>
      </c>
      <c r="N374" s="8" t="str">
        <f t="shared" si="11"/>
        <v>Complete</v>
      </c>
    </row>
    <row r="375" spans="1:14" ht="27" customHeight="1">
      <c r="A375" s="6">
        <v>374</v>
      </c>
      <c r="B375" s="6" t="s">
        <v>844</v>
      </c>
      <c r="C375" s="6" t="s">
        <v>845</v>
      </c>
      <c r="D375" s="6" t="s">
        <v>92</v>
      </c>
      <c r="E375" s="6" t="s">
        <v>93</v>
      </c>
      <c r="F375" s="7" t="s">
        <v>77</v>
      </c>
      <c r="G375" s="7"/>
      <c r="H375" s="7" t="s">
        <v>78</v>
      </c>
      <c r="I375" s="7"/>
      <c r="J375" s="7" t="s">
        <v>852</v>
      </c>
      <c r="K375" s="7" t="s">
        <v>853</v>
      </c>
      <c r="L375" s="7" t="s">
        <v>81</v>
      </c>
      <c r="M375" s="8" t="str">
        <f t="shared" si="10"/>
        <v>D</v>
      </c>
      <c r="N375" s="8" t="str">
        <f t="shared" si="11"/>
        <v>Complete</v>
      </c>
    </row>
    <row r="376" spans="1:14" ht="40.5" customHeight="1">
      <c r="A376" s="6">
        <v>375</v>
      </c>
      <c r="B376" s="6" t="s">
        <v>844</v>
      </c>
      <c r="C376" s="6" t="s">
        <v>845</v>
      </c>
      <c r="D376" s="6" t="s">
        <v>97</v>
      </c>
      <c r="E376" s="6" t="s">
        <v>98</v>
      </c>
      <c r="F376" s="7" t="s">
        <v>103</v>
      </c>
      <c r="G376" s="7" t="s">
        <v>104</v>
      </c>
      <c r="H376" s="7"/>
      <c r="I376" s="7"/>
      <c r="J376" s="7" t="s">
        <v>854</v>
      </c>
      <c r="K376" s="7" t="s">
        <v>855</v>
      </c>
      <c r="L376" s="7" t="s">
        <v>81</v>
      </c>
      <c r="M376" s="8" t="str">
        <f t="shared" si="10"/>
        <v>NA</v>
      </c>
      <c r="N376" s="8" t="str">
        <f t="shared" si="11"/>
        <v>Complete</v>
      </c>
    </row>
    <row r="377" spans="1:14" ht="40.5" customHeight="1">
      <c r="A377" s="6">
        <v>376</v>
      </c>
      <c r="B377" s="6" t="s">
        <v>844</v>
      </c>
      <c r="C377" s="6" t="s">
        <v>845</v>
      </c>
      <c r="D377" s="6" t="s">
        <v>101</v>
      </c>
      <c r="E377" s="6" t="s">
        <v>102</v>
      </c>
      <c r="F377" s="7" t="s">
        <v>103</v>
      </c>
      <c r="G377" s="7" t="s">
        <v>104</v>
      </c>
      <c r="H377" s="7"/>
      <c r="I377" s="7"/>
      <c r="J377" s="7" t="s">
        <v>856</v>
      </c>
      <c r="K377" s="7" t="s">
        <v>857</v>
      </c>
      <c r="L377" s="7" t="s">
        <v>81</v>
      </c>
      <c r="M377" s="8" t="str">
        <f t="shared" si="10"/>
        <v>NA</v>
      </c>
      <c r="N377" s="8" t="str">
        <f t="shared" si="11"/>
        <v>Complete</v>
      </c>
    </row>
    <row r="378" spans="1:14" ht="40.5" customHeight="1">
      <c r="A378" s="6">
        <v>377</v>
      </c>
      <c r="B378" s="6" t="s">
        <v>844</v>
      </c>
      <c r="C378" s="6" t="s">
        <v>845</v>
      </c>
      <c r="D378" s="6" t="s">
        <v>107</v>
      </c>
      <c r="E378" s="6" t="s">
        <v>108</v>
      </c>
      <c r="F378" s="7" t="s">
        <v>103</v>
      </c>
      <c r="G378" s="7" t="s">
        <v>104</v>
      </c>
      <c r="H378" s="7"/>
      <c r="I378" s="7"/>
      <c r="J378" s="7" t="s">
        <v>858</v>
      </c>
      <c r="K378" s="7" t="s">
        <v>859</v>
      </c>
      <c r="L378" s="7" t="s">
        <v>111</v>
      </c>
      <c r="M378" s="8" t="str">
        <f t="shared" si="10"/>
        <v>NA</v>
      </c>
      <c r="N378" s="8" t="str">
        <f t="shared" si="11"/>
        <v>Complete</v>
      </c>
    </row>
    <row r="379" spans="1:14" ht="40.5" customHeight="1">
      <c r="A379" s="6">
        <v>378</v>
      </c>
      <c r="B379" s="6" t="s">
        <v>844</v>
      </c>
      <c r="C379" s="6" t="s">
        <v>845</v>
      </c>
      <c r="D379" s="6" t="s">
        <v>112</v>
      </c>
      <c r="E379" s="6" t="s">
        <v>113</v>
      </c>
      <c r="F379" s="7" t="s">
        <v>103</v>
      </c>
      <c r="G379" s="7" t="s">
        <v>104</v>
      </c>
      <c r="H379" s="7"/>
      <c r="I379" s="7"/>
      <c r="J379" s="7" t="s">
        <v>860</v>
      </c>
      <c r="K379" s="7" t="s">
        <v>861</v>
      </c>
      <c r="L379" s="7" t="s">
        <v>81</v>
      </c>
      <c r="M379" s="8" t="str">
        <f t="shared" si="10"/>
        <v>NA</v>
      </c>
      <c r="N379" s="8" t="str">
        <f t="shared" si="11"/>
        <v>Complete</v>
      </c>
    </row>
    <row r="380" spans="1:14" ht="27" customHeight="1">
      <c r="A380" s="6">
        <v>379</v>
      </c>
      <c r="B380" s="6" t="s">
        <v>844</v>
      </c>
      <c r="C380" s="6" t="s">
        <v>845</v>
      </c>
      <c r="D380" s="6" t="s">
        <v>117</v>
      </c>
      <c r="E380" s="6" t="s">
        <v>118</v>
      </c>
      <c r="F380" s="7" t="s">
        <v>77</v>
      </c>
      <c r="G380" s="7"/>
      <c r="H380" s="7" t="s">
        <v>94</v>
      </c>
      <c r="I380" s="7"/>
      <c r="J380" s="7" t="s">
        <v>862</v>
      </c>
      <c r="K380" s="7" t="s">
        <v>863</v>
      </c>
      <c r="L380" s="7" t="s">
        <v>81</v>
      </c>
      <c r="M380" s="8" t="str">
        <f t="shared" si="10"/>
        <v>U</v>
      </c>
      <c r="N380" s="8" t="str">
        <f t="shared" si="11"/>
        <v>Complete</v>
      </c>
    </row>
    <row r="381" spans="1:14" ht="40.5" customHeight="1">
      <c r="A381" s="6">
        <v>380</v>
      </c>
      <c r="B381" s="6" t="s">
        <v>844</v>
      </c>
      <c r="C381" s="6" t="s">
        <v>845</v>
      </c>
      <c r="D381" s="6" t="s">
        <v>122</v>
      </c>
      <c r="E381" s="6" t="s">
        <v>123</v>
      </c>
      <c r="F381" s="7" t="s">
        <v>103</v>
      </c>
      <c r="G381" s="7" t="s">
        <v>104</v>
      </c>
      <c r="H381" s="7"/>
      <c r="I381" s="7"/>
      <c r="J381" s="7" t="s">
        <v>864</v>
      </c>
      <c r="K381" s="7" t="s">
        <v>168</v>
      </c>
      <c r="L381" s="7" t="s">
        <v>81</v>
      </c>
      <c r="M381" s="8" t="str">
        <f t="shared" si="10"/>
        <v>NA</v>
      </c>
      <c r="N381" s="8" t="str">
        <f t="shared" si="11"/>
        <v>Complete</v>
      </c>
    </row>
    <row r="382" spans="1:14" ht="27" customHeight="1">
      <c r="A382" s="6">
        <v>381</v>
      </c>
      <c r="B382" s="6" t="s">
        <v>865</v>
      </c>
      <c r="C382" s="6" t="s">
        <v>866</v>
      </c>
      <c r="D382" s="6" t="s">
        <v>75</v>
      </c>
      <c r="E382" s="6" t="s">
        <v>76</v>
      </c>
      <c r="F382" s="7" t="s">
        <v>77</v>
      </c>
      <c r="G382" s="7"/>
      <c r="H382" s="7" t="s">
        <v>78</v>
      </c>
      <c r="I382" s="7"/>
      <c r="J382" s="7" t="s">
        <v>867</v>
      </c>
      <c r="K382" s="7" t="s">
        <v>868</v>
      </c>
      <c r="L382" s="7" t="s">
        <v>132</v>
      </c>
      <c r="M382" s="8" t="str">
        <f t="shared" si="10"/>
        <v>D</v>
      </c>
      <c r="N382" s="8" t="str">
        <f t="shared" si="11"/>
        <v>Complete</v>
      </c>
    </row>
    <row r="383" spans="1:14" ht="27" customHeight="1">
      <c r="A383" s="6">
        <v>382</v>
      </c>
      <c r="B383" s="6" t="s">
        <v>865</v>
      </c>
      <c r="C383" s="6" t="s">
        <v>866</v>
      </c>
      <c r="D383" s="6" t="s">
        <v>82</v>
      </c>
      <c r="E383" s="6" t="s">
        <v>83</v>
      </c>
      <c r="F383" s="7" t="s">
        <v>77</v>
      </c>
      <c r="G383" s="7"/>
      <c r="H383" s="7" t="s">
        <v>78</v>
      </c>
      <c r="I383" s="7"/>
      <c r="J383" s="7" t="s">
        <v>869</v>
      </c>
      <c r="K383" s="7" t="s">
        <v>870</v>
      </c>
      <c r="L383" s="7" t="s">
        <v>132</v>
      </c>
      <c r="M383" s="8" t="str">
        <f t="shared" si="10"/>
        <v>D</v>
      </c>
      <c r="N383" s="8" t="str">
        <f t="shared" si="11"/>
        <v>Complete</v>
      </c>
    </row>
    <row r="384" spans="1:14" ht="27" customHeight="1">
      <c r="A384" s="6">
        <v>383</v>
      </c>
      <c r="B384" s="6" t="s">
        <v>865</v>
      </c>
      <c r="C384" s="6" t="s">
        <v>866</v>
      </c>
      <c r="D384" s="6" t="s">
        <v>86</v>
      </c>
      <c r="E384" s="6" t="s">
        <v>87</v>
      </c>
      <c r="F384" s="7" t="s">
        <v>77</v>
      </c>
      <c r="G384" s="7"/>
      <c r="H384" s="7" t="s">
        <v>88</v>
      </c>
      <c r="I384" s="7" t="s">
        <v>119</v>
      </c>
      <c r="J384" s="7" t="s">
        <v>871</v>
      </c>
      <c r="K384" s="7" t="s">
        <v>872</v>
      </c>
      <c r="L384" s="7" t="s">
        <v>81</v>
      </c>
      <c r="M384" s="8" t="str">
        <f t="shared" si="10"/>
        <v>R</v>
      </c>
      <c r="N384" s="8" t="str">
        <f t="shared" si="11"/>
        <v>Complete</v>
      </c>
    </row>
    <row r="385" spans="1:14" ht="27" customHeight="1">
      <c r="A385" s="6">
        <v>384</v>
      </c>
      <c r="B385" s="6" t="s">
        <v>865</v>
      </c>
      <c r="C385" s="6" t="s">
        <v>866</v>
      </c>
      <c r="D385" s="6" t="s">
        <v>92</v>
      </c>
      <c r="E385" s="6" t="s">
        <v>93</v>
      </c>
      <c r="F385" s="7" t="s">
        <v>77</v>
      </c>
      <c r="G385" s="7"/>
      <c r="H385" s="7" t="s">
        <v>78</v>
      </c>
      <c r="I385" s="7"/>
      <c r="J385" s="7" t="s">
        <v>873</v>
      </c>
      <c r="K385" s="7" t="s">
        <v>874</v>
      </c>
      <c r="L385" s="7" t="s">
        <v>81</v>
      </c>
      <c r="M385" s="8" t="str">
        <f t="shared" si="10"/>
        <v>D</v>
      </c>
      <c r="N385" s="8" t="str">
        <f t="shared" si="11"/>
        <v>Complete</v>
      </c>
    </row>
    <row r="386" spans="1:14" ht="40.5" customHeight="1">
      <c r="A386" s="6">
        <v>385</v>
      </c>
      <c r="B386" s="6" t="s">
        <v>865</v>
      </c>
      <c r="C386" s="6" t="s">
        <v>866</v>
      </c>
      <c r="D386" s="6" t="s">
        <v>97</v>
      </c>
      <c r="E386" s="6" t="s">
        <v>98</v>
      </c>
      <c r="F386" s="7" t="s">
        <v>103</v>
      </c>
      <c r="G386" s="7" t="s">
        <v>104</v>
      </c>
      <c r="H386" s="7"/>
      <c r="I386" s="7"/>
      <c r="J386" s="7" t="s">
        <v>875</v>
      </c>
      <c r="K386" s="7" t="s">
        <v>855</v>
      </c>
      <c r="L386" s="7" t="s">
        <v>81</v>
      </c>
      <c r="M386" s="8" t="str">
        <f t="shared" ref="M386:M449" si="12">IF(F386="Not applicable","NA",IF(F386="Applicable",IF(H386="","",H386),""))</f>
        <v>NA</v>
      </c>
      <c r="N386" s="8" t="str">
        <f t="shared" ref="N386:N449" si="13">IF(F386="","Applicability missing",IF(AND(F386="Applicable",H386=""),"Record status missing",IF(AND(F386="Applicable",G386&lt;&gt;""),"Boundary strength must be blank for applicable rows",IF(AND(F386="Not applicable",G386=""),"Boundary strength missing",IF(AND(F386="Not applicable",H386&lt;&gt;""),"Record status must be blank for not-applicable rows",IF(AND(H386="R",I386=""),"Recovery stability missing",IF(J386="","Evidence location missing","Complete")))))))</f>
        <v>Complete</v>
      </c>
    </row>
    <row r="387" spans="1:14" ht="40.5" customHeight="1">
      <c r="A387" s="6">
        <v>386</v>
      </c>
      <c r="B387" s="6" t="s">
        <v>865</v>
      </c>
      <c r="C387" s="6" t="s">
        <v>866</v>
      </c>
      <c r="D387" s="6" t="s">
        <v>101</v>
      </c>
      <c r="E387" s="6" t="s">
        <v>102</v>
      </c>
      <c r="F387" s="7" t="s">
        <v>103</v>
      </c>
      <c r="G387" s="7" t="s">
        <v>104</v>
      </c>
      <c r="H387" s="7"/>
      <c r="I387" s="7"/>
      <c r="J387" s="7" t="s">
        <v>876</v>
      </c>
      <c r="K387" s="7" t="s">
        <v>877</v>
      </c>
      <c r="L387" s="7" t="s">
        <v>81</v>
      </c>
      <c r="M387" s="8" t="str">
        <f t="shared" si="12"/>
        <v>NA</v>
      </c>
      <c r="N387" s="8" t="str">
        <f t="shared" si="13"/>
        <v>Complete</v>
      </c>
    </row>
    <row r="388" spans="1:14" ht="40.5" customHeight="1">
      <c r="A388" s="6">
        <v>387</v>
      </c>
      <c r="B388" s="6" t="s">
        <v>865</v>
      </c>
      <c r="C388" s="6" t="s">
        <v>866</v>
      </c>
      <c r="D388" s="6" t="s">
        <v>107</v>
      </c>
      <c r="E388" s="6" t="s">
        <v>108</v>
      </c>
      <c r="F388" s="7" t="s">
        <v>77</v>
      </c>
      <c r="G388" s="7"/>
      <c r="H388" s="7" t="s">
        <v>88</v>
      </c>
      <c r="I388" s="7" t="s">
        <v>119</v>
      </c>
      <c r="J388" s="7" t="s">
        <v>878</v>
      </c>
      <c r="K388" s="7" t="s">
        <v>879</v>
      </c>
      <c r="L388" s="7" t="s">
        <v>111</v>
      </c>
      <c r="M388" s="8" t="str">
        <f t="shared" si="12"/>
        <v>R</v>
      </c>
      <c r="N388" s="8" t="str">
        <f t="shared" si="13"/>
        <v>Complete</v>
      </c>
    </row>
    <row r="389" spans="1:14" ht="40.5" customHeight="1">
      <c r="A389" s="6">
        <v>388</v>
      </c>
      <c r="B389" s="6" t="s">
        <v>865</v>
      </c>
      <c r="C389" s="6" t="s">
        <v>866</v>
      </c>
      <c r="D389" s="6" t="s">
        <v>112</v>
      </c>
      <c r="E389" s="6" t="s">
        <v>113</v>
      </c>
      <c r="F389" s="7" t="s">
        <v>103</v>
      </c>
      <c r="G389" s="7" t="s">
        <v>114</v>
      </c>
      <c r="H389" s="7"/>
      <c r="I389" s="7"/>
      <c r="J389" s="7" t="s">
        <v>880</v>
      </c>
      <c r="K389" s="7" t="s">
        <v>881</v>
      </c>
      <c r="L389" s="7" t="s">
        <v>132</v>
      </c>
      <c r="M389" s="8" t="str">
        <f t="shared" si="12"/>
        <v>NA</v>
      </c>
      <c r="N389" s="8" t="str">
        <f t="shared" si="13"/>
        <v>Complete</v>
      </c>
    </row>
    <row r="390" spans="1:14" ht="27" customHeight="1">
      <c r="A390" s="6">
        <v>389</v>
      </c>
      <c r="B390" s="6" t="s">
        <v>865</v>
      </c>
      <c r="C390" s="6" t="s">
        <v>866</v>
      </c>
      <c r="D390" s="6" t="s">
        <v>117</v>
      </c>
      <c r="E390" s="6" t="s">
        <v>118</v>
      </c>
      <c r="F390" s="7" t="s">
        <v>77</v>
      </c>
      <c r="G390" s="7"/>
      <c r="H390" s="7" t="s">
        <v>88</v>
      </c>
      <c r="I390" s="7" t="s">
        <v>119</v>
      </c>
      <c r="J390" s="7" t="s">
        <v>882</v>
      </c>
      <c r="K390" s="7" t="s">
        <v>883</v>
      </c>
      <c r="L390" s="7" t="s">
        <v>81</v>
      </c>
      <c r="M390" s="8" t="str">
        <f t="shared" si="12"/>
        <v>R</v>
      </c>
      <c r="N390" s="8" t="str">
        <f t="shared" si="13"/>
        <v>Complete</v>
      </c>
    </row>
    <row r="391" spans="1:14" ht="40.5" customHeight="1">
      <c r="A391" s="6">
        <v>390</v>
      </c>
      <c r="B391" s="6" t="s">
        <v>865</v>
      </c>
      <c r="C391" s="6" t="s">
        <v>866</v>
      </c>
      <c r="D391" s="6" t="s">
        <v>122</v>
      </c>
      <c r="E391" s="6" t="s">
        <v>123</v>
      </c>
      <c r="F391" s="7" t="s">
        <v>103</v>
      </c>
      <c r="G391" s="7" t="s">
        <v>104</v>
      </c>
      <c r="H391" s="7"/>
      <c r="I391" s="7"/>
      <c r="J391" s="7" t="s">
        <v>884</v>
      </c>
      <c r="K391" s="7" t="s">
        <v>885</v>
      </c>
      <c r="L391" s="7" t="s">
        <v>81</v>
      </c>
      <c r="M391" s="8" t="str">
        <f t="shared" si="12"/>
        <v>NA</v>
      </c>
      <c r="N391" s="8" t="str">
        <f t="shared" si="13"/>
        <v>Complete</v>
      </c>
    </row>
    <row r="392" spans="1:14" ht="27" customHeight="1">
      <c r="A392" s="6">
        <v>391</v>
      </c>
      <c r="B392" s="6" t="s">
        <v>886</v>
      </c>
      <c r="C392" s="6" t="s">
        <v>887</v>
      </c>
      <c r="D392" s="6" t="s">
        <v>75</v>
      </c>
      <c r="E392" s="6" t="s">
        <v>76</v>
      </c>
      <c r="F392" s="7" t="s">
        <v>77</v>
      </c>
      <c r="G392" s="7"/>
      <c r="H392" s="7" t="s">
        <v>88</v>
      </c>
      <c r="I392" s="7" t="s">
        <v>89</v>
      </c>
      <c r="J392" s="7" t="s">
        <v>888</v>
      </c>
      <c r="K392" s="7" t="s">
        <v>889</v>
      </c>
      <c r="L392" s="7" t="s">
        <v>111</v>
      </c>
      <c r="M392" s="8" t="str">
        <f t="shared" si="12"/>
        <v>R</v>
      </c>
      <c r="N392" s="8" t="str">
        <f t="shared" si="13"/>
        <v>Complete</v>
      </c>
    </row>
    <row r="393" spans="1:14" ht="27" customHeight="1">
      <c r="A393" s="6">
        <v>392</v>
      </c>
      <c r="B393" s="6" t="s">
        <v>886</v>
      </c>
      <c r="C393" s="6" t="s">
        <v>887</v>
      </c>
      <c r="D393" s="6" t="s">
        <v>82</v>
      </c>
      <c r="E393" s="6" t="s">
        <v>83</v>
      </c>
      <c r="F393" s="7" t="s">
        <v>77</v>
      </c>
      <c r="G393" s="7"/>
      <c r="H393" s="7" t="s">
        <v>78</v>
      </c>
      <c r="I393" s="7"/>
      <c r="J393" s="7" t="s">
        <v>890</v>
      </c>
      <c r="K393" s="7" t="s">
        <v>891</v>
      </c>
      <c r="L393" s="7" t="s">
        <v>81</v>
      </c>
      <c r="M393" s="8" t="str">
        <f t="shared" si="12"/>
        <v>D</v>
      </c>
      <c r="N393" s="8" t="str">
        <f t="shared" si="13"/>
        <v>Complete</v>
      </c>
    </row>
    <row r="394" spans="1:14" ht="40.5" customHeight="1">
      <c r="A394" s="6">
        <v>393</v>
      </c>
      <c r="B394" s="6" t="s">
        <v>886</v>
      </c>
      <c r="C394" s="6" t="s">
        <v>887</v>
      </c>
      <c r="D394" s="6" t="s">
        <v>86</v>
      </c>
      <c r="E394" s="6" t="s">
        <v>87</v>
      </c>
      <c r="F394" s="7" t="s">
        <v>77</v>
      </c>
      <c r="G394" s="7"/>
      <c r="H394" s="7" t="s">
        <v>94</v>
      </c>
      <c r="I394" s="7"/>
      <c r="J394" s="7" t="s">
        <v>892</v>
      </c>
      <c r="K394" s="7" t="s">
        <v>893</v>
      </c>
      <c r="L394" s="7" t="s">
        <v>81</v>
      </c>
      <c r="M394" s="8" t="str">
        <f t="shared" si="12"/>
        <v>U</v>
      </c>
      <c r="N394" s="8" t="str">
        <f t="shared" si="13"/>
        <v>Complete</v>
      </c>
    </row>
    <row r="395" spans="1:14" ht="27" customHeight="1">
      <c r="A395" s="6">
        <v>394</v>
      </c>
      <c r="B395" s="6" t="s">
        <v>886</v>
      </c>
      <c r="C395" s="6" t="s">
        <v>887</v>
      </c>
      <c r="D395" s="6" t="s">
        <v>92</v>
      </c>
      <c r="E395" s="6" t="s">
        <v>93</v>
      </c>
      <c r="F395" s="7" t="s">
        <v>77</v>
      </c>
      <c r="G395" s="7"/>
      <c r="H395" s="7" t="s">
        <v>94</v>
      </c>
      <c r="I395" s="7"/>
      <c r="J395" s="7" t="s">
        <v>894</v>
      </c>
      <c r="K395" s="7" t="s">
        <v>895</v>
      </c>
      <c r="L395" s="7" t="s">
        <v>111</v>
      </c>
      <c r="M395" s="8" t="str">
        <f t="shared" si="12"/>
        <v>U</v>
      </c>
      <c r="N395" s="8" t="str">
        <f t="shared" si="13"/>
        <v>Complete</v>
      </c>
    </row>
    <row r="396" spans="1:14" ht="40.5" customHeight="1">
      <c r="A396" s="6">
        <v>395</v>
      </c>
      <c r="B396" s="6" t="s">
        <v>886</v>
      </c>
      <c r="C396" s="6" t="s">
        <v>887</v>
      </c>
      <c r="D396" s="6" t="s">
        <v>97</v>
      </c>
      <c r="E396" s="6" t="s">
        <v>98</v>
      </c>
      <c r="F396" s="7" t="s">
        <v>103</v>
      </c>
      <c r="G396" s="7" t="s">
        <v>104</v>
      </c>
      <c r="H396" s="7"/>
      <c r="I396" s="7"/>
      <c r="J396" s="7" t="s">
        <v>896</v>
      </c>
      <c r="K396" s="7" t="s">
        <v>855</v>
      </c>
      <c r="L396" s="7" t="s">
        <v>81</v>
      </c>
      <c r="M396" s="8" t="str">
        <f t="shared" si="12"/>
        <v>NA</v>
      </c>
      <c r="N396" s="8" t="str">
        <f t="shared" si="13"/>
        <v>Complete</v>
      </c>
    </row>
    <row r="397" spans="1:14" ht="40.5" customHeight="1">
      <c r="A397" s="6">
        <v>396</v>
      </c>
      <c r="B397" s="6" t="s">
        <v>886</v>
      </c>
      <c r="C397" s="6" t="s">
        <v>887</v>
      </c>
      <c r="D397" s="6" t="s">
        <v>101</v>
      </c>
      <c r="E397" s="6" t="s">
        <v>102</v>
      </c>
      <c r="F397" s="7" t="s">
        <v>103</v>
      </c>
      <c r="G397" s="7" t="s">
        <v>104</v>
      </c>
      <c r="H397" s="7"/>
      <c r="I397" s="7"/>
      <c r="J397" s="7" t="s">
        <v>897</v>
      </c>
      <c r="K397" s="7" t="s">
        <v>407</v>
      </c>
      <c r="L397" s="7" t="s">
        <v>81</v>
      </c>
      <c r="M397" s="8" t="str">
        <f t="shared" si="12"/>
        <v>NA</v>
      </c>
      <c r="N397" s="8" t="str">
        <f t="shared" si="13"/>
        <v>Complete</v>
      </c>
    </row>
    <row r="398" spans="1:14" ht="27" customHeight="1">
      <c r="A398" s="6">
        <v>397</v>
      </c>
      <c r="B398" s="6" t="s">
        <v>886</v>
      </c>
      <c r="C398" s="6" t="s">
        <v>887</v>
      </c>
      <c r="D398" s="6" t="s">
        <v>107</v>
      </c>
      <c r="E398" s="6" t="s">
        <v>108</v>
      </c>
      <c r="F398" s="7" t="s">
        <v>77</v>
      </c>
      <c r="G398" s="7"/>
      <c r="H398" s="7" t="s">
        <v>94</v>
      </c>
      <c r="I398" s="7"/>
      <c r="J398" s="7" t="s">
        <v>898</v>
      </c>
      <c r="K398" s="7" t="s">
        <v>899</v>
      </c>
      <c r="L398" s="7" t="s">
        <v>111</v>
      </c>
      <c r="M398" s="8" t="str">
        <f t="shared" si="12"/>
        <v>U</v>
      </c>
      <c r="N398" s="8" t="str">
        <f t="shared" si="13"/>
        <v>Complete</v>
      </c>
    </row>
    <row r="399" spans="1:14" ht="40.5" customHeight="1">
      <c r="A399" s="6">
        <v>398</v>
      </c>
      <c r="B399" s="6" t="s">
        <v>886</v>
      </c>
      <c r="C399" s="6" t="s">
        <v>887</v>
      </c>
      <c r="D399" s="6" t="s">
        <v>112</v>
      </c>
      <c r="E399" s="6" t="s">
        <v>113</v>
      </c>
      <c r="F399" s="7" t="s">
        <v>103</v>
      </c>
      <c r="G399" s="7" t="s">
        <v>114</v>
      </c>
      <c r="H399" s="7"/>
      <c r="I399" s="7"/>
      <c r="J399" s="7" t="s">
        <v>900</v>
      </c>
      <c r="K399" s="7" t="s">
        <v>901</v>
      </c>
      <c r="L399" s="7" t="s">
        <v>132</v>
      </c>
      <c r="M399" s="8" t="str">
        <f t="shared" si="12"/>
        <v>NA</v>
      </c>
      <c r="N399" s="8" t="str">
        <f t="shared" si="13"/>
        <v>Complete</v>
      </c>
    </row>
    <row r="400" spans="1:14" ht="27" customHeight="1">
      <c r="A400" s="6">
        <v>399</v>
      </c>
      <c r="B400" s="6" t="s">
        <v>886</v>
      </c>
      <c r="C400" s="6" t="s">
        <v>887</v>
      </c>
      <c r="D400" s="6" t="s">
        <v>117</v>
      </c>
      <c r="E400" s="6" t="s">
        <v>118</v>
      </c>
      <c r="F400" s="7" t="s">
        <v>77</v>
      </c>
      <c r="G400" s="7"/>
      <c r="H400" s="7" t="s">
        <v>94</v>
      </c>
      <c r="I400" s="7"/>
      <c r="J400" s="7" t="s">
        <v>902</v>
      </c>
      <c r="K400" s="7" t="s">
        <v>903</v>
      </c>
      <c r="L400" s="7" t="s">
        <v>81</v>
      </c>
      <c r="M400" s="8" t="str">
        <f t="shared" si="12"/>
        <v>U</v>
      </c>
      <c r="N400" s="8" t="str">
        <f t="shared" si="13"/>
        <v>Complete</v>
      </c>
    </row>
    <row r="401" spans="1:14" ht="40.5" customHeight="1">
      <c r="A401" s="6">
        <v>400</v>
      </c>
      <c r="B401" s="6" t="s">
        <v>886</v>
      </c>
      <c r="C401" s="6" t="s">
        <v>887</v>
      </c>
      <c r="D401" s="6" t="s">
        <v>122</v>
      </c>
      <c r="E401" s="6" t="s">
        <v>123</v>
      </c>
      <c r="F401" s="7" t="s">
        <v>103</v>
      </c>
      <c r="G401" s="7" t="s">
        <v>104</v>
      </c>
      <c r="H401" s="7"/>
      <c r="I401" s="7"/>
      <c r="J401" s="7" t="s">
        <v>904</v>
      </c>
      <c r="K401" s="7" t="s">
        <v>168</v>
      </c>
      <c r="L401" s="7" t="s">
        <v>81</v>
      </c>
      <c r="M401" s="8" t="str">
        <f t="shared" si="12"/>
        <v>NA</v>
      </c>
      <c r="N401" s="8" t="str">
        <f t="shared" si="13"/>
        <v>Complete</v>
      </c>
    </row>
    <row r="402" spans="1:14" ht="27" customHeight="1">
      <c r="A402" s="6">
        <v>401</v>
      </c>
      <c r="B402" s="6" t="s">
        <v>905</v>
      </c>
      <c r="C402" s="6" t="s">
        <v>906</v>
      </c>
      <c r="D402" s="6" t="s">
        <v>75</v>
      </c>
      <c r="E402" s="6" t="s">
        <v>76</v>
      </c>
      <c r="F402" s="7" t="s">
        <v>77</v>
      </c>
      <c r="G402" s="7"/>
      <c r="H402" s="7" t="s">
        <v>88</v>
      </c>
      <c r="I402" s="7" t="s">
        <v>89</v>
      </c>
      <c r="J402" s="7" t="s">
        <v>907</v>
      </c>
      <c r="K402" s="7" t="s">
        <v>908</v>
      </c>
      <c r="L402" s="7" t="s">
        <v>81</v>
      </c>
      <c r="M402" s="8" t="str">
        <f t="shared" si="12"/>
        <v>R</v>
      </c>
      <c r="N402" s="8" t="str">
        <f t="shared" si="13"/>
        <v>Complete</v>
      </c>
    </row>
    <row r="403" spans="1:14" ht="27" customHeight="1">
      <c r="A403" s="6">
        <v>402</v>
      </c>
      <c r="B403" s="6" t="s">
        <v>905</v>
      </c>
      <c r="C403" s="6" t="s">
        <v>906</v>
      </c>
      <c r="D403" s="6" t="s">
        <v>82</v>
      </c>
      <c r="E403" s="6" t="s">
        <v>83</v>
      </c>
      <c r="F403" s="7" t="s">
        <v>77</v>
      </c>
      <c r="G403" s="7"/>
      <c r="H403" s="7" t="s">
        <v>88</v>
      </c>
      <c r="I403" s="7" t="s">
        <v>89</v>
      </c>
      <c r="J403" s="7" t="s">
        <v>909</v>
      </c>
      <c r="K403" s="7" t="s">
        <v>910</v>
      </c>
      <c r="L403" s="7" t="s">
        <v>81</v>
      </c>
      <c r="M403" s="8" t="str">
        <f t="shared" si="12"/>
        <v>R</v>
      </c>
      <c r="N403" s="8" t="str">
        <f t="shared" si="13"/>
        <v>Complete</v>
      </c>
    </row>
    <row r="404" spans="1:14" ht="27" customHeight="1">
      <c r="A404" s="6">
        <v>403</v>
      </c>
      <c r="B404" s="6" t="s">
        <v>905</v>
      </c>
      <c r="C404" s="6" t="s">
        <v>906</v>
      </c>
      <c r="D404" s="6" t="s">
        <v>86</v>
      </c>
      <c r="E404" s="6" t="s">
        <v>87</v>
      </c>
      <c r="F404" s="7" t="s">
        <v>77</v>
      </c>
      <c r="G404" s="7"/>
      <c r="H404" s="7" t="s">
        <v>94</v>
      </c>
      <c r="I404" s="7"/>
      <c r="J404" s="7" t="s">
        <v>911</v>
      </c>
      <c r="K404" s="7" t="s">
        <v>912</v>
      </c>
      <c r="L404" s="7" t="s">
        <v>111</v>
      </c>
      <c r="M404" s="8" t="str">
        <f t="shared" si="12"/>
        <v>U</v>
      </c>
      <c r="N404" s="8" t="str">
        <f t="shared" si="13"/>
        <v>Complete</v>
      </c>
    </row>
    <row r="405" spans="1:14" ht="40.5" customHeight="1">
      <c r="A405" s="6">
        <v>404</v>
      </c>
      <c r="B405" s="6" t="s">
        <v>905</v>
      </c>
      <c r="C405" s="6" t="s">
        <v>906</v>
      </c>
      <c r="D405" s="6" t="s">
        <v>92</v>
      </c>
      <c r="E405" s="6" t="s">
        <v>93</v>
      </c>
      <c r="F405" s="7" t="s">
        <v>77</v>
      </c>
      <c r="G405" s="7"/>
      <c r="H405" s="7" t="s">
        <v>94</v>
      </c>
      <c r="I405" s="7"/>
      <c r="J405" s="7" t="s">
        <v>913</v>
      </c>
      <c r="K405" s="7" t="s">
        <v>914</v>
      </c>
      <c r="L405" s="7" t="s">
        <v>81</v>
      </c>
      <c r="M405" s="8" t="str">
        <f t="shared" si="12"/>
        <v>U</v>
      </c>
      <c r="N405" s="8" t="str">
        <f t="shared" si="13"/>
        <v>Complete</v>
      </c>
    </row>
    <row r="406" spans="1:14" ht="40.5" customHeight="1">
      <c r="A406" s="6">
        <v>405</v>
      </c>
      <c r="B406" s="6" t="s">
        <v>905</v>
      </c>
      <c r="C406" s="6" t="s">
        <v>906</v>
      </c>
      <c r="D406" s="6" t="s">
        <v>97</v>
      </c>
      <c r="E406" s="6" t="s">
        <v>98</v>
      </c>
      <c r="F406" s="7" t="s">
        <v>103</v>
      </c>
      <c r="G406" s="7" t="s">
        <v>104</v>
      </c>
      <c r="H406" s="7"/>
      <c r="I406" s="7"/>
      <c r="J406" s="7" t="s">
        <v>915</v>
      </c>
      <c r="K406" s="7" t="s">
        <v>855</v>
      </c>
      <c r="L406" s="7" t="s">
        <v>81</v>
      </c>
      <c r="M406" s="8" t="str">
        <f t="shared" si="12"/>
        <v>NA</v>
      </c>
      <c r="N406" s="8" t="str">
        <f t="shared" si="13"/>
        <v>Complete</v>
      </c>
    </row>
    <row r="407" spans="1:14" ht="40.5" customHeight="1">
      <c r="A407" s="6">
        <v>406</v>
      </c>
      <c r="B407" s="6" t="s">
        <v>905</v>
      </c>
      <c r="C407" s="6" t="s">
        <v>906</v>
      </c>
      <c r="D407" s="6" t="s">
        <v>101</v>
      </c>
      <c r="E407" s="6" t="s">
        <v>102</v>
      </c>
      <c r="F407" s="7" t="s">
        <v>103</v>
      </c>
      <c r="G407" s="7" t="s">
        <v>104</v>
      </c>
      <c r="H407" s="7"/>
      <c r="I407" s="7"/>
      <c r="J407" s="7" t="s">
        <v>915</v>
      </c>
      <c r="K407" s="7" t="s">
        <v>407</v>
      </c>
      <c r="L407" s="7" t="s">
        <v>81</v>
      </c>
      <c r="M407" s="8" t="str">
        <f t="shared" si="12"/>
        <v>NA</v>
      </c>
      <c r="N407" s="8" t="str">
        <f t="shared" si="13"/>
        <v>Complete</v>
      </c>
    </row>
    <row r="408" spans="1:14" ht="27" customHeight="1">
      <c r="A408" s="6">
        <v>407</v>
      </c>
      <c r="B408" s="6" t="s">
        <v>905</v>
      </c>
      <c r="C408" s="6" t="s">
        <v>906</v>
      </c>
      <c r="D408" s="6" t="s">
        <v>107</v>
      </c>
      <c r="E408" s="6" t="s">
        <v>108</v>
      </c>
      <c r="F408" s="7" t="s">
        <v>77</v>
      </c>
      <c r="G408" s="7"/>
      <c r="H408" s="7" t="s">
        <v>94</v>
      </c>
      <c r="I408" s="7"/>
      <c r="J408" s="7" t="s">
        <v>911</v>
      </c>
      <c r="K408" s="7" t="s">
        <v>916</v>
      </c>
      <c r="L408" s="7" t="s">
        <v>111</v>
      </c>
      <c r="M408" s="8" t="str">
        <f t="shared" si="12"/>
        <v>U</v>
      </c>
      <c r="N408" s="8" t="str">
        <f t="shared" si="13"/>
        <v>Complete</v>
      </c>
    </row>
    <row r="409" spans="1:14" ht="27" customHeight="1">
      <c r="A409" s="6">
        <v>408</v>
      </c>
      <c r="B409" s="6" t="s">
        <v>905</v>
      </c>
      <c r="C409" s="6" t="s">
        <v>906</v>
      </c>
      <c r="D409" s="6" t="s">
        <v>112</v>
      </c>
      <c r="E409" s="6" t="s">
        <v>113</v>
      </c>
      <c r="F409" s="7" t="s">
        <v>103</v>
      </c>
      <c r="G409" s="7" t="s">
        <v>114</v>
      </c>
      <c r="H409" s="7"/>
      <c r="I409" s="7"/>
      <c r="J409" s="7" t="s">
        <v>917</v>
      </c>
      <c r="K409" s="7" t="s">
        <v>918</v>
      </c>
      <c r="L409" s="7" t="s">
        <v>81</v>
      </c>
      <c r="M409" s="8" t="str">
        <f t="shared" si="12"/>
        <v>NA</v>
      </c>
      <c r="N409" s="8" t="str">
        <f t="shared" si="13"/>
        <v>Complete</v>
      </c>
    </row>
    <row r="410" spans="1:14" ht="27" customHeight="1">
      <c r="A410" s="6">
        <v>409</v>
      </c>
      <c r="B410" s="6" t="s">
        <v>905</v>
      </c>
      <c r="C410" s="6" t="s">
        <v>906</v>
      </c>
      <c r="D410" s="6" t="s">
        <v>117</v>
      </c>
      <c r="E410" s="6" t="s">
        <v>118</v>
      </c>
      <c r="F410" s="7" t="s">
        <v>77</v>
      </c>
      <c r="G410" s="7"/>
      <c r="H410" s="7" t="s">
        <v>94</v>
      </c>
      <c r="I410" s="7"/>
      <c r="J410" s="7" t="s">
        <v>919</v>
      </c>
      <c r="K410" s="7" t="s">
        <v>920</v>
      </c>
      <c r="L410" s="7" t="s">
        <v>81</v>
      </c>
      <c r="M410" s="8" t="str">
        <f t="shared" si="12"/>
        <v>U</v>
      </c>
      <c r="N410" s="8" t="str">
        <f t="shared" si="13"/>
        <v>Complete</v>
      </c>
    </row>
    <row r="411" spans="1:14" ht="40.5" customHeight="1">
      <c r="A411" s="6">
        <v>410</v>
      </c>
      <c r="B411" s="6" t="s">
        <v>905</v>
      </c>
      <c r="C411" s="6" t="s">
        <v>906</v>
      </c>
      <c r="D411" s="6" t="s">
        <v>122</v>
      </c>
      <c r="E411" s="6" t="s">
        <v>123</v>
      </c>
      <c r="F411" s="7" t="s">
        <v>103</v>
      </c>
      <c r="G411" s="7" t="s">
        <v>104</v>
      </c>
      <c r="H411" s="7"/>
      <c r="I411" s="7"/>
      <c r="J411" s="7" t="s">
        <v>921</v>
      </c>
      <c r="K411" s="7" t="s">
        <v>168</v>
      </c>
      <c r="L411" s="7" t="s">
        <v>81</v>
      </c>
      <c r="M411" s="8" t="str">
        <f t="shared" si="12"/>
        <v>NA</v>
      </c>
      <c r="N411" s="8" t="str">
        <f t="shared" si="13"/>
        <v>Complete</v>
      </c>
    </row>
    <row r="412" spans="1:14" ht="27" customHeight="1">
      <c r="A412" s="6">
        <v>411</v>
      </c>
      <c r="B412" s="6" t="s">
        <v>922</v>
      </c>
      <c r="C412" s="6" t="s">
        <v>923</v>
      </c>
      <c r="D412" s="6" t="s">
        <v>75</v>
      </c>
      <c r="E412" s="6" t="s">
        <v>76</v>
      </c>
      <c r="F412" s="7" t="s">
        <v>77</v>
      </c>
      <c r="G412" s="7"/>
      <c r="H412" s="7" t="s">
        <v>78</v>
      </c>
      <c r="I412" s="7"/>
      <c r="J412" s="7" t="s">
        <v>924</v>
      </c>
      <c r="K412" s="7" t="s">
        <v>925</v>
      </c>
      <c r="L412" s="7" t="s">
        <v>111</v>
      </c>
      <c r="M412" s="8" t="str">
        <f t="shared" si="12"/>
        <v>D</v>
      </c>
      <c r="N412" s="8" t="str">
        <f t="shared" si="13"/>
        <v>Complete</v>
      </c>
    </row>
    <row r="413" spans="1:14" ht="27" customHeight="1">
      <c r="A413" s="6">
        <v>412</v>
      </c>
      <c r="B413" s="6" t="s">
        <v>922</v>
      </c>
      <c r="C413" s="6" t="s">
        <v>923</v>
      </c>
      <c r="D413" s="6" t="s">
        <v>82</v>
      </c>
      <c r="E413" s="6" t="s">
        <v>83</v>
      </c>
      <c r="F413" s="7" t="s">
        <v>77</v>
      </c>
      <c r="G413" s="7"/>
      <c r="H413" s="7" t="s">
        <v>88</v>
      </c>
      <c r="I413" s="7" t="s">
        <v>119</v>
      </c>
      <c r="J413" s="7" t="s">
        <v>926</v>
      </c>
      <c r="K413" s="7" t="s">
        <v>927</v>
      </c>
      <c r="L413" s="7" t="s">
        <v>111</v>
      </c>
      <c r="M413" s="8" t="str">
        <f t="shared" si="12"/>
        <v>R</v>
      </c>
      <c r="N413" s="8" t="str">
        <f t="shared" si="13"/>
        <v>Complete</v>
      </c>
    </row>
    <row r="414" spans="1:14" ht="27" customHeight="1">
      <c r="A414" s="6">
        <v>413</v>
      </c>
      <c r="B414" s="6" t="s">
        <v>922</v>
      </c>
      <c r="C414" s="6" t="s">
        <v>923</v>
      </c>
      <c r="D414" s="6" t="s">
        <v>86</v>
      </c>
      <c r="E414" s="6" t="s">
        <v>87</v>
      </c>
      <c r="F414" s="7" t="s">
        <v>77</v>
      </c>
      <c r="G414" s="7"/>
      <c r="H414" s="7" t="s">
        <v>94</v>
      </c>
      <c r="I414" s="7"/>
      <c r="J414" s="7" t="s">
        <v>928</v>
      </c>
      <c r="K414" s="7" t="s">
        <v>929</v>
      </c>
      <c r="L414" s="7" t="s">
        <v>111</v>
      </c>
      <c r="M414" s="8" t="str">
        <f t="shared" si="12"/>
        <v>U</v>
      </c>
      <c r="N414" s="8" t="str">
        <f t="shared" si="13"/>
        <v>Complete</v>
      </c>
    </row>
    <row r="415" spans="1:14" ht="27" customHeight="1">
      <c r="A415" s="6">
        <v>414</v>
      </c>
      <c r="B415" s="6" t="s">
        <v>922</v>
      </c>
      <c r="C415" s="6" t="s">
        <v>923</v>
      </c>
      <c r="D415" s="6" t="s">
        <v>92</v>
      </c>
      <c r="E415" s="6" t="s">
        <v>93</v>
      </c>
      <c r="F415" s="7" t="s">
        <v>77</v>
      </c>
      <c r="G415" s="7"/>
      <c r="H415" s="7" t="s">
        <v>78</v>
      </c>
      <c r="I415" s="7"/>
      <c r="J415" s="7" t="s">
        <v>930</v>
      </c>
      <c r="K415" s="7" t="s">
        <v>931</v>
      </c>
      <c r="L415" s="7" t="s">
        <v>81</v>
      </c>
      <c r="M415" s="8" t="str">
        <f t="shared" si="12"/>
        <v>D</v>
      </c>
      <c r="N415" s="8" t="str">
        <f t="shared" si="13"/>
        <v>Complete</v>
      </c>
    </row>
    <row r="416" spans="1:14" ht="40.5" customHeight="1">
      <c r="A416" s="6">
        <v>415</v>
      </c>
      <c r="B416" s="6" t="s">
        <v>922</v>
      </c>
      <c r="C416" s="6" t="s">
        <v>923</v>
      </c>
      <c r="D416" s="6" t="s">
        <v>97</v>
      </c>
      <c r="E416" s="6" t="s">
        <v>98</v>
      </c>
      <c r="F416" s="7" t="s">
        <v>103</v>
      </c>
      <c r="G416" s="7" t="s">
        <v>104</v>
      </c>
      <c r="H416" s="7"/>
      <c r="I416" s="7"/>
      <c r="J416" s="7" t="s">
        <v>932</v>
      </c>
      <c r="K416" s="7" t="s">
        <v>855</v>
      </c>
      <c r="L416" s="7" t="s">
        <v>81</v>
      </c>
      <c r="M416" s="8" t="str">
        <f t="shared" si="12"/>
        <v>NA</v>
      </c>
      <c r="N416" s="8" t="str">
        <f t="shared" si="13"/>
        <v>Complete</v>
      </c>
    </row>
    <row r="417" spans="1:14" ht="40.5" customHeight="1">
      <c r="A417" s="6">
        <v>416</v>
      </c>
      <c r="B417" s="6" t="s">
        <v>922</v>
      </c>
      <c r="C417" s="6" t="s">
        <v>923</v>
      </c>
      <c r="D417" s="6" t="s">
        <v>101</v>
      </c>
      <c r="E417" s="6" t="s">
        <v>102</v>
      </c>
      <c r="F417" s="7" t="s">
        <v>103</v>
      </c>
      <c r="G417" s="7" t="s">
        <v>104</v>
      </c>
      <c r="H417" s="7"/>
      <c r="I417" s="7"/>
      <c r="J417" s="7" t="s">
        <v>933</v>
      </c>
      <c r="K417" s="7" t="s">
        <v>407</v>
      </c>
      <c r="L417" s="7" t="s">
        <v>81</v>
      </c>
      <c r="M417" s="8" t="str">
        <f t="shared" si="12"/>
        <v>NA</v>
      </c>
      <c r="N417" s="8" t="str">
        <f t="shared" si="13"/>
        <v>Complete</v>
      </c>
    </row>
    <row r="418" spans="1:14" ht="40.5" customHeight="1">
      <c r="A418" s="6">
        <v>417</v>
      </c>
      <c r="B418" s="6" t="s">
        <v>922</v>
      </c>
      <c r="C418" s="6" t="s">
        <v>923</v>
      </c>
      <c r="D418" s="6" t="s">
        <v>107</v>
      </c>
      <c r="E418" s="6" t="s">
        <v>108</v>
      </c>
      <c r="F418" s="7" t="s">
        <v>77</v>
      </c>
      <c r="G418" s="7"/>
      <c r="H418" s="7" t="s">
        <v>88</v>
      </c>
      <c r="I418" s="7" t="s">
        <v>119</v>
      </c>
      <c r="J418" s="7" t="s">
        <v>934</v>
      </c>
      <c r="K418" s="7" t="s">
        <v>935</v>
      </c>
      <c r="L418" s="7" t="s">
        <v>111</v>
      </c>
      <c r="M418" s="8" t="str">
        <f t="shared" si="12"/>
        <v>R</v>
      </c>
      <c r="N418" s="8" t="str">
        <f t="shared" si="13"/>
        <v>Complete</v>
      </c>
    </row>
    <row r="419" spans="1:14" ht="40.5" customHeight="1">
      <c r="A419" s="6">
        <v>418</v>
      </c>
      <c r="B419" s="6" t="s">
        <v>922</v>
      </c>
      <c r="C419" s="6" t="s">
        <v>923</v>
      </c>
      <c r="D419" s="6" t="s">
        <v>112</v>
      </c>
      <c r="E419" s="6" t="s">
        <v>113</v>
      </c>
      <c r="F419" s="7" t="s">
        <v>103</v>
      </c>
      <c r="G419" s="7" t="s">
        <v>114</v>
      </c>
      <c r="H419" s="7"/>
      <c r="I419" s="7"/>
      <c r="J419" s="7" t="s">
        <v>933</v>
      </c>
      <c r="K419" s="7" t="s">
        <v>936</v>
      </c>
      <c r="L419" s="7" t="s">
        <v>132</v>
      </c>
      <c r="M419" s="8" t="str">
        <f t="shared" si="12"/>
        <v>NA</v>
      </c>
      <c r="N419" s="8" t="str">
        <f t="shared" si="13"/>
        <v>Complete</v>
      </c>
    </row>
    <row r="420" spans="1:14" ht="40.5" customHeight="1">
      <c r="A420" s="6">
        <v>419</v>
      </c>
      <c r="B420" s="6" t="s">
        <v>922</v>
      </c>
      <c r="C420" s="6" t="s">
        <v>923</v>
      </c>
      <c r="D420" s="6" t="s">
        <v>117</v>
      </c>
      <c r="E420" s="6" t="s">
        <v>118</v>
      </c>
      <c r="F420" s="7" t="s">
        <v>103</v>
      </c>
      <c r="G420" s="7" t="s">
        <v>114</v>
      </c>
      <c r="H420" s="7"/>
      <c r="I420" s="7"/>
      <c r="J420" s="7" t="s">
        <v>933</v>
      </c>
      <c r="K420" s="7" t="s">
        <v>937</v>
      </c>
      <c r="L420" s="7" t="s">
        <v>81</v>
      </c>
      <c r="M420" s="8" t="str">
        <f t="shared" si="12"/>
        <v>NA</v>
      </c>
      <c r="N420" s="8" t="str">
        <f t="shared" si="13"/>
        <v>Complete</v>
      </c>
    </row>
    <row r="421" spans="1:14" ht="40.5" customHeight="1">
      <c r="A421" s="6">
        <v>420</v>
      </c>
      <c r="B421" s="6" t="s">
        <v>922</v>
      </c>
      <c r="C421" s="6" t="s">
        <v>923</v>
      </c>
      <c r="D421" s="6" t="s">
        <v>122</v>
      </c>
      <c r="E421" s="6" t="s">
        <v>123</v>
      </c>
      <c r="F421" s="7" t="s">
        <v>103</v>
      </c>
      <c r="G421" s="7" t="s">
        <v>104</v>
      </c>
      <c r="H421" s="7"/>
      <c r="I421" s="7"/>
      <c r="J421" s="7" t="s">
        <v>938</v>
      </c>
      <c r="K421" s="7" t="s">
        <v>168</v>
      </c>
      <c r="L421" s="7" t="s">
        <v>81</v>
      </c>
      <c r="M421" s="8" t="str">
        <f t="shared" si="12"/>
        <v>NA</v>
      </c>
      <c r="N421" s="8" t="str">
        <f t="shared" si="13"/>
        <v>Complete</v>
      </c>
    </row>
    <row r="422" spans="1:14" ht="27" customHeight="1">
      <c r="A422" s="6">
        <v>421</v>
      </c>
      <c r="B422" s="6" t="s">
        <v>939</v>
      </c>
      <c r="C422" s="6" t="s">
        <v>940</v>
      </c>
      <c r="D422" s="6" t="s">
        <v>75</v>
      </c>
      <c r="E422" s="6" t="s">
        <v>76</v>
      </c>
      <c r="F422" s="7" t="s">
        <v>77</v>
      </c>
      <c r="G422" s="7"/>
      <c r="H422" s="7" t="s">
        <v>78</v>
      </c>
      <c r="I422" s="7"/>
      <c r="J422" s="7" t="s">
        <v>941</v>
      </c>
      <c r="K422" s="7" t="s">
        <v>942</v>
      </c>
      <c r="L422" s="7" t="s">
        <v>111</v>
      </c>
      <c r="M422" s="8" t="str">
        <f t="shared" si="12"/>
        <v>D</v>
      </c>
      <c r="N422" s="8" t="str">
        <f t="shared" si="13"/>
        <v>Complete</v>
      </c>
    </row>
    <row r="423" spans="1:14" ht="27" customHeight="1">
      <c r="A423" s="6">
        <v>422</v>
      </c>
      <c r="B423" s="6" t="s">
        <v>939</v>
      </c>
      <c r="C423" s="6" t="s">
        <v>940</v>
      </c>
      <c r="D423" s="6" t="s">
        <v>82</v>
      </c>
      <c r="E423" s="6" t="s">
        <v>83</v>
      </c>
      <c r="F423" s="7" t="s">
        <v>77</v>
      </c>
      <c r="G423" s="7"/>
      <c r="H423" s="7" t="s">
        <v>88</v>
      </c>
      <c r="I423" s="7" t="s">
        <v>89</v>
      </c>
      <c r="J423" s="7" t="s">
        <v>943</v>
      </c>
      <c r="K423" s="7" t="s">
        <v>944</v>
      </c>
      <c r="L423" s="7" t="s">
        <v>111</v>
      </c>
      <c r="M423" s="8" t="str">
        <f t="shared" si="12"/>
        <v>R</v>
      </c>
      <c r="N423" s="8" t="str">
        <f t="shared" si="13"/>
        <v>Complete</v>
      </c>
    </row>
    <row r="424" spans="1:14" ht="27" customHeight="1">
      <c r="A424" s="6">
        <v>423</v>
      </c>
      <c r="B424" s="6" t="s">
        <v>939</v>
      </c>
      <c r="C424" s="6" t="s">
        <v>940</v>
      </c>
      <c r="D424" s="6" t="s">
        <v>86</v>
      </c>
      <c r="E424" s="6" t="s">
        <v>87</v>
      </c>
      <c r="F424" s="7" t="s">
        <v>77</v>
      </c>
      <c r="G424" s="7"/>
      <c r="H424" s="7" t="s">
        <v>94</v>
      </c>
      <c r="I424" s="7"/>
      <c r="J424" s="7" t="s">
        <v>945</v>
      </c>
      <c r="K424" s="7" t="s">
        <v>946</v>
      </c>
      <c r="L424" s="7" t="s">
        <v>111</v>
      </c>
      <c r="M424" s="8" t="str">
        <f t="shared" si="12"/>
        <v>U</v>
      </c>
      <c r="N424" s="8" t="str">
        <f t="shared" si="13"/>
        <v>Complete</v>
      </c>
    </row>
    <row r="425" spans="1:14" ht="27" customHeight="1">
      <c r="A425" s="6">
        <v>424</v>
      </c>
      <c r="B425" s="6" t="s">
        <v>939</v>
      </c>
      <c r="C425" s="6" t="s">
        <v>940</v>
      </c>
      <c r="D425" s="6" t="s">
        <v>92</v>
      </c>
      <c r="E425" s="6" t="s">
        <v>93</v>
      </c>
      <c r="F425" s="7" t="s">
        <v>77</v>
      </c>
      <c r="G425" s="7"/>
      <c r="H425" s="7" t="s">
        <v>94</v>
      </c>
      <c r="I425" s="7"/>
      <c r="J425" s="7" t="s">
        <v>947</v>
      </c>
      <c r="K425" s="7" t="s">
        <v>948</v>
      </c>
      <c r="L425" s="7" t="s">
        <v>81</v>
      </c>
      <c r="M425" s="8" t="str">
        <f t="shared" si="12"/>
        <v>U</v>
      </c>
      <c r="N425" s="8" t="str">
        <f t="shared" si="13"/>
        <v>Complete</v>
      </c>
    </row>
    <row r="426" spans="1:14" ht="27" customHeight="1">
      <c r="A426" s="6">
        <v>425</v>
      </c>
      <c r="B426" s="6" t="s">
        <v>939</v>
      </c>
      <c r="C426" s="6" t="s">
        <v>940</v>
      </c>
      <c r="D426" s="6" t="s">
        <v>97</v>
      </c>
      <c r="E426" s="6" t="s">
        <v>98</v>
      </c>
      <c r="F426" s="7" t="s">
        <v>77</v>
      </c>
      <c r="G426" s="7"/>
      <c r="H426" s="7" t="s">
        <v>94</v>
      </c>
      <c r="I426" s="7"/>
      <c r="J426" s="7" t="s">
        <v>943</v>
      </c>
      <c r="K426" s="7" t="s">
        <v>949</v>
      </c>
      <c r="L426" s="7" t="s">
        <v>81</v>
      </c>
      <c r="M426" s="8" t="str">
        <f t="shared" si="12"/>
        <v>U</v>
      </c>
      <c r="N426" s="8" t="str">
        <f t="shared" si="13"/>
        <v>Complete</v>
      </c>
    </row>
    <row r="427" spans="1:14" ht="40.5" customHeight="1">
      <c r="A427" s="6">
        <v>426</v>
      </c>
      <c r="B427" s="6" t="s">
        <v>939</v>
      </c>
      <c r="C427" s="6" t="s">
        <v>940</v>
      </c>
      <c r="D427" s="6" t="s">
        <v>101</v>
      </c>
      <c r="E427" s="6" t="s">
        <v>102</v>
      </c>
      <c r="F427" s="7" t="s">
        <v>103</v>
      </c>
      <c r="G427" s="7" t="s">
        <v>104</v>
      </c>
      <c r="H427" s="7"/>
      <c r="I427" s="7"/>
      <c r="J427" s="7" t="s">
        <v>950</v>
      </c>
      <c r="K427" s="7" t="s">
        <v>407</v>
      </c>
      <c r="L427" s="7" t="s">
        <v>81</v>
      </c>
      <c r="M427" s="8" t="str">
        <f t="shared" si="12"/>
        <v>NA</v>
      </c>
      <c r="N427" s="8" t="str">
        <f t="shared" si="13"/>
        <v>Complete</v>
      </c>
    </row>
    <row r="428" spans="1:14" ht="40.5" customHeight="1">
      <c r="A428" s="6">
        <v>427</v>
      </c>
      <c r="B428" s="6" t="s">
        <v>939</v>
      </c>
      <c r="C428" s="6" t="s">
        <v>940</v>
      </c>
      <c r="D428" s="6" t="s">
        <v>107</v>
      </c>
      <c r="E428" s="6" t="s">
        <v>108</v>
      </c>
      <c r="F428" s="7" t="s">
        <v>103</v>
      </c>
      <c r="G428" s="7" t="s">
        <v>104</v>
      </c>
      <c r="H428" s="7"/>
      <c r="I428" s="7"/>
      <c r="J428" s="7" t="s">
        <v>951</v>
      </c>
      <c r="K428" s="7" t="s">
        <v>952</v>
      </c>
      <c r="L428" s="7" t="s">
        <v>81</v>
      </c>
      <c r="M428" s="8" t="str">
        <f t="shared" si="12"/>
        <v>NA</v>
      </c>
      <c r="N428" s="8" t="str">
        <f t="shared" si="13"/>
        <v>Complete</v>
      </c>
    </row>
    <row r="429" spans="1:14" ht="40.5" customHeight="1">
      <c r="A429" s="6">
        <v>428</v>
      </c>
      <c r="B429" s="6" t="s">
        <v>939</v>
      </c>
      <c r="C429" s="6" t="s">
        <v>940</v>
      </c>
      <c r="D429" s="6" t="s">
        <v>112</v>
      </c>
      <c r="E429" s="6" t="s">
        <v>113</v>
      </c>
      <c r="F429" s="7" t="s">
        <v>103</v>
      </c>
      <c r="G429" s="7" t="s">
        <v>114</v>
      </c>
      <c r="H429" s="7"/>
      <c r="I429" s="7"/>
      <c r="J429" s="7" t="s">
        <v>953</v>
      </c>
      <c r="K429" s="7" t="s">
        <v>184</v>
      </c>
      <c r="L429" s="7" t="s">
        <v>132</v>
      </c>
      <c r="M429" s="8" t="str">
        <f t="shared" si="12"/>
        <v>NA</v>
      </c>
      <c r="N429" s="8" t="str">
        <f t="shared" si="13"/>
        <v>Complete</v>
      </c>
    </row>
    <row r="430" spans="1:14" ht="40.5" customHeight="1">
      <c r="A430" s="6">
        <v>429</v>
      </c>
      <c r="B430" s="6" t="s">
        <v>939</v>
      </c>
      <c r="C430" s="6" t="s">
        <v>940</v>
      </c>
      <c r="D430" s="6" t="s">
        <v>117</v>
      </c>
      <c r="E430" s="6" t="s">
        <v>118</v>
      </c>
      <c r="F430" s="7" t="s">
        <v>103</v>
      </c>
      <c r="G430" s="7" t="s">
        <v>104</v>
      </c>
      <c r="H430" s="7"/>
      <c r="I430" s="7"/>
      <c r="J430" s="7" t="s">
        <v>954</v>
      </c>
      <c r="K430" s="7" t="s">
        <v>955</v>
      </c>
      <c r="L430" s="7" t="s">
        <v>81</v>
      </c>
      <c r="M430" s="8" t="str">
        <f t="shared" si="12"/>
        <v>NA</v>
      </c>
      <c r="N430" s="8" t="str">
        <f t="shared" si="13"/>
        <v>Complete</v>
      </c>
    </row>
    <row r="431" spans="1:14" ht="40.5" customHeight="1">
      <c r="A431" s="6">
        <v>430</v>
      </c>
      <c r="B431" s="6" t="s">
        <v>939</v>
      </c>
      <c r="C431" s="6" t="s">
        <v>940</v>
      </c>
      <c r="D431" s="6" t="s">
        <v>122</v>
      </c>
      <c r="E431" s="6" t="s">
        <v>123</v>
      </c>
      <c r="F431" s="7" t="s">
        <v>103</v>
      </c>
      <c r="G431" s="7" t="s">
        <v>104</v>
      </c>
      <c r="H431" s="7"/>
      <c r="I431" s="7"/>
      <c r="J431" s="7" t="s">
        <v>956</v>
      </c>
      <c r="K431" s="7" t="s">
        <v>168</v>
      </c>
      <c r="L431" s="7" t="s">
        <v>81</v>
      </c>
      <c r="M431" s="8" t="str">
        <f t="shared" si="12"/>
        <v>NA</v>
      </c>
      <c r="N431" s="8" t="str">
        <f t="shared" si="13"/>
        <v>Complete</v>
      </c>
    </row>
    <row r="432" spans="1:14" ht="40.5" customHeight="1">
      <c r="A432" s="6">
        <v>431</v>
      </c>
      <c r="B432" s="6" t="s">
        <v>957</v>
      </c>
      <c r="C432" s="6" t="s">
        <v>958</v>
      </c>
      <c r="D432" s="6" t="s">
        <v>75</v>
      </c>
      <c r="E432" s="6" t="s">
        <v>76</v>
      </c>
      <c r="F432" s="7" t="s">
        <v>77</v>
      </c>
      <c r="G432" s="7"/>
      <c r="H432" s="7" t="s">
        <v>78</v>
      </c>
      <c r="I432" s="7"/>
      <c r="J432" s="7" t="s">
        <v>959</v>
      </c>
      <c r="K432" s="7" t="s">
        <v>960</v>
      </c>
      <c r="L432" s="7" t="s">
        <v>81</v>
      </c>
      <c r="M432" s="8" t="str">
        <f t="shared" si="12"/>
        <v>D</v>
      </c>
      <c r="N432" s="8" t="str">
        <f t="shared" si="13"/>
        <v>Complete</v>
      </c>
    </row>
    <row r="433" spans="1:14" ht="27" customHeight="1">
      <c r="A433" s="6">
        <v>432</v>
      </c>
      <c r="B433" s="6" t="s">
        <v>957</v>
      </c>
      <c r="C433" s="6" t="s">
        <v>958</v>
      </c>
      <c r="D433" s="6" t="s">
        <v>82</v>
      </c>
      <c r="E433" s="6" t="s">
        <v>83</v>
      </c>
      <c r="F433" s="7" t="s">
        <v>77</v>
      </c>
      <c r="G433" s="7"/>
      <c r="H433" s="7" t="s">
        <v>88</v>
      </c>
      <c r="I433" s="7" t="s">
        <v>89</v>
      </c>
      <c r="J433" s="7" t="s">
        <v>961</v>
      </c>
      <c r="K433" s="7" t="s">
        <v>962</v>
      </c>
      <c r="L433" s="7" t="s">
        <v>81</v>
      </c>
      <c r="M433" s="8" t="str">
        <f t="shared" si="12"/>
        <v>R</v>
      </c>
      <c r="N433" s="8" t="str">
        <f t="shared" si="13"/>
        <v>Complete</v>
      </c>
    </row>
    <row r="434" spans="1:14" ht="27" customHeight="1">
      <c r="A434" s="6">
        <v>433</v>
      </c>
      <c r="B434" s="6" t="s">
        <v>957</v>
      </c>
      <c r="C434" s="6" t="s">
        <v>958</v>
      </c>
      <c r="D434" s="6" t="s">
        <v>86</v>
      </c>
      <c r="E434" s="6" t="s">
        <v>87</v>
      </c>
      <c r="F434" s="7" t="s">
        <v>77</v>
      </c>
      <c r="G434" s="7"/>
      <c r="H434" s="7" t="s">
        <v>94</v>
      </c>
      <c r="I434" s="7"/>
      <c r="J434" s="7" t="s">
        <v>963</v>
      </c>
      <c r="K434" s="7" t="s">
        <v>964</v>
      </c>
      <c r="L434" s="7" t="s">
        <v>81</v>
      </c>
      <c r="M434" s="8" t="str">
        <f t="shared" si="12"/>
        <v>U</v>
      </c>
      <c r="N434" s="8" t="str">
        <f t="shared" si="13"/>
        <v>Complete</v>
      </c>
    </row>
    <row r="435" spans="1:14" ht="27" customHeight="1">
      <c r="A435" s="6">
        <v>434</v>
      </c>
      <c r="B435" s="6" t="s">
        <v>957</v>
      </c>
      <c r="C435" s="6" t="s">
        <v>958</v>
      </c>
      <c r="D435" s="6" t="s">
        <v>92</v>
      </c>
      <c r="E435" s="6" t="s">
        <v>93</v>
      </c>
      <c r="F435" s="7" t="s">
        <v>77</v>
      </c>
      <c r="G435" s="7"/>
      <c r="H435" s="7" t="s">
        <v>94</v>
      </c>
      <c r="I435" s="7"/>
      <c r="J435" s="7" t="s">
        <v>965</v>
      </c>
      <c r="K435" s="7" t="s">
        <v>966</v>
      </c>
      <c r="L435" s="7" t="s">
        <v>111</v>
      </c>
      <c r="M435" s="8" t="str">
        <f t="shared" si="12"/>
        <v>U</v>
      </c>
      <c r="N435" s="8" t="str">
        <f t="shared" si="13"/>
        <v>Complete</v>
      </c>
    </row>
    <row r="436" spans="1:14" ht="27" customHeight="1">
      <c r="A436" s="6">
        <v>435</v>
      </c>
      <c r="B436" s="6" t="s">
        <v>957</v>
      </c>
      <c r="C436" s="6" t="s">
        <v>958</v>
      </c>
      <c r="D436" s="6" t="s">
        <v>97</v>
      </c>
      <c r="E436" s="6" t="s">
        <v>98</v>
      </c>
      <c r="F436" s="7" t="s">
        <v>77</v>
      </c>
      <c r="G436" s="7"/>
      <c r="H436" s="7" t="s">
        <v>94</v>
      </c>
      <c r="I436" s="7"/>
      <c r="J436" s="7" t="s">
        <v>967</v>
      </c>
      <c r="K436" s="7" t="s">
        <v>968</v>
      </c>
      <c r="L436" s="7" t="s">
        <v>111</v>
      </c>
      <c r="M436" s="8" t="str">
        <f t="shared" si="12"/>
        <v>U</v>
      </c>
      <c r="N436" s="8" t="str">
        <f t="shared" si="13"/>
        <v>Complete</v>
      </c>
    </row>
    <row r="437" spans="1:14" ht="40.5" customHeight="1">
      <c r="A437" s="6">
        <v>436</v>
      </c>
      <c r="B437" s="6" t="s">
        <v>957</v>
      </c>
      <c r="C437" s="6" t="s">
        <v>958</v>
      </c>
      <c r="D437" s="6" t="s">
        <v>101</v>
      </c>
      <c r="E437" s="6" t="s">
        <v>102</v>
      </c>
      <c r="F437" s="7" t="s">
        <v>103</v>
      </c>
      <c r="G437" s="7" t="s">
        <v>104</v>
      </c>
      <c r="H437" s="7"/>
      <c r="I437" s="7"/>
      <c r="J437" s="7" t="s">
        <v>969</v>
      </c>
      <c r="K437" s="7" t="s">
        <v>407</v>
      </c>
      <c r="L437" s="7" t="s">
        <v>81</v>
      </c>
      <c r="M437" s="8" t="str">
        <f t="shared" si="12"/>
        <v>NA</v>
      </c>
      <c r="N437" s="8" t="str">
        <f t="shared" si="13"/>
        <v>Complete</v>
      </c>
    </row>
    <row r="438" spans="1:14" ht="27" customHeight="1">
      <c r="A438" s="6">
        <v>437</v>
      </c>
      <c r="B438" s="6" t="s">
        <v>957</v>
      </c>
      <c r="C438" s="6" t="s">
        <v>958</v>
      </c>
      <c r="D438" s="6" t="s">
        <v>107</v>
      </c>
      <c r="E438" s="6" t="s">
        <v>108</v>
      </c>
      <c r="F438" s="7" t="s">
        <v>103</v>
      </c>
      <c r="G438" s="7" t="s">
        <v>104</v>
      </c>
      <c r="H438" s="7"/>
      <c r="I438" s="7"/>
      <c r="J438" s="7" t="s">
        <v>970</v>
      </c>
      <c r="K438" s="7" t="s">
        <v>971</v>
      </c>
      <c r="L438" s="7" t="s">
        <v>111</v>
      </c>
      <c r="M438" s="8" t="str">
        <f t="shared" si="12"/>
        <v>NA</v>
      </c>
      <c r="N438" s="8" t="str">
        <f t="shared" si="13"/>
        <v>Complete</v>
      </c>
    </row>
    <row r="439" spans="1:14" ht="40.5" customHeight="1">
      <c r="A439" s="6">
        <v>438</v>
      </c>
      <c r="B439" s="6" t="s">
        <v>957</v>
      </c>
      <c r="C439" s="6" t="s">
        <v>958</v>
      </c>
      <c r="D439" s="6" t="s">
        <v>112</v>
      </c>
      <c r="E439" s="6" t="s">
        <v>113</v>
      </c>
      <c r="F439" s="7" t="s">
        <v>103</v>
      </c>
      <c r="G439" s="7" t="s">
        <v>104</v>
      </c>
      <c r="H439" s="7"/>
      <c r="I439" s="7"/>
      <c r="J439" s="7" t="s">
        <v>972</v>
      </c>
      <c r="K439" s="7" t="s">
        <v>973</v>
      </c>
      <c r="L439" s="7" t="s">
        <v>81</v>
      </c>
      <c r="M439" s="8" t="str">
        <f t="shared" si="12"/>
        <v>NA</v>
      </c>
      <c r="N439" s="8" t="str">
        <f t="shared" si="13"/>
        <v>Complete</v>
      </c>
    </row>
    <row r="440" spans="1:14" ht="40.5" customHeight="1">
      <c r="A440" s="6">
        <v>439</v>
      </c>
      <c r="B440" s="6" t="s">
        <v>957</v>
      </c>
      <c r="C440" s="6" t="s">
        <v>958</v>
      </c>
      <c r="D440" s="6" t="s">
        <v>117</v>
      </c>
      <c r="E440" s="6" t="s">
        <v>118</v>
      </c>
      <c r="F440" s="7" t="s">
        <v>103</v>
      </c>
      <c r="G440" s="7" t="s">
        <v>104</v>
      </c>
      <c r="H440" s="7"/>
      <c r="I440" s="7"/>
      <c r="J440" s="7" t="s">
        <v>974</v>
      </c>
      <c r="K440" s="7" t="s">
        <v>975</v>
      </c>
      <c r="L440" s="7" t="s">
        <v>111</v>
      </c>
      <c r="M440" s="8" t="str">
        <f t="shared" si="12"/>
        <v>NA</v>
      </c>
      <c r="N440" s="8" t="str">
        <f t="shared" si="13"/>
        <v>Complete</v>
      </c>
    </row>
    <row r="441" spans="1:14" ht="40.5" customHeight="1">
      <c r="A441" s="6">
        <v>440</v>
      </c>
      <c r="B441" s="6" t="s">
        <v>957</v>
      </c>
      <c r="C441" s="6" t="s">
        <v>958</v>
      </c>
      <c r="D441" s="6" t="s">
        <v>122</v>
      </c>
      <c r="E441" s="6" t="s">
        <v>123</v>
      </c>
      <c r="F441" s="7" t="s">
        <v>103</v>
      </c>
      <c r="G441" s="7" t="s">
        <v>104</v>
      </c>
      <c r="H441" s="7"/>
      <c r="I441" s="7"/>
      <c r="J441" s="7" t="s">
        <v>976</v>
      </c>
      <c r="K441" s="7" t="s">
        <v>977</v>
      </c>
      <c r="L441" s="7" t="s">
        <v>81</v>
      </c>
      <c r="M441" s="8" t="str">
        <f t="shared" si="12"/>
        <v>NA</v>
      </c>
      <c r="N441" s="8" t="str">
        <f t="shared" si="13"/>
        <v>Complete</v>
      </c>
    </row>
    <row r="442" spans="1:14" ht="27" customHeight="1">
      <c r="A442" s="6">
        <v>441</v>
      </c>
      <c r="B442" s="6" t="s">
        <v>978</v>
      </c>
      <c r="C442" s="6" t="s">
        <v>979</v>
      </c>
      <c r="D442" s="6" t="s">
        <v>75</v>
      </c>
      <c r="E442" s="6" t="s">
        <v>76</v>
      </c>
      <c r="F442" s="7" t="s">
        <v>77</v>
      </c>
      <c r="G442" s="7"/>
      <c r="H442" s="7" t="s">
        <v>88</v>
      </c>
      <c r="I442" s="7" t="s">
        <v>89</v>
      </c>
      <c r="J442" s="7" t="s">
        <v>980</v>
      </c>
      <c r="K442" s="7" t="s">
        <v>981</v>
      </c>
      <c r="L442" s="7" t="s">
        <v>81</v>
      </c>
      <c r="M442" s="8" t="str">
        <f t="shared" si="12"/>
        <v>R</v>
      </c>
      <c r="N442" s="8" t="str">
        <f t="shared" si="13"/>
        <v>Complete</v>
      </c>
    </row>
    <row r="443" spans="1:14" ht="27" customHeight="1">
      <c r="A443" s="6">
        <v>442</v>
      </c>
      <c r="B443" s="6" t="s">
        <v>978</v>
      </c>
      <c r="C443" s="6" t="s">
        <v>979</v>
      </c>
      <c r="D443" s="6" t="s">
        <v>82</v>
      </c>
      <c r="E443" s="6" t="s">
        <v>83</v>
      </c>
      <c r="F443" s="7" t="s">
        <v>77</v>
      </c>
      <c r="G443" s="7"/>
      <c r="H443" s="7" t="s">
        <v>78</v>
      </c>
      <c r="I443" s="7"/>
      <c r="J443" s="7" t="s">
        <v>982</v>
      </c>
      <c r="K443" s="7" t="s">
        <v>983</v>
      </c>
      <c r="L443" s="7" t="s">
        <v>81</v>
      </c>
      <c r="M443" s="8" t="str">
        <f t="shared" si="12"/>
        <v>D</v>
      </c>
      <c r="N443" s="8" t="str">
        <f t="shared" si="13"/>
        <v>Complete</v>
      </c>
    </row>
    <row r="444" spans="1:14" ht="27" customHeight="1">
      <c r="A444" s="6">
        <v>443</v>
      </c>
      <c r="B444" s="6" t="s">
        <v>978</v>
      </c>
      <c r="C444" s="6" t="s">
        <v>979</v>
      </c>
      <c r="D444" s="6" t="s">
        <v>86</v>
      </c>
      <c r="E444" s="6" t="s">
        <v>87</v>
      </c>
      <c r="F444" s="7" t="s">
        <v>77</v>
      </c>
      <c r="G444" s="7"/>
      <c r="H444" s="7" t="s">
        <v>94</v>
      </c>
      <c r="I444" s="7"/>
      <c r="J444" s="7" t="s">
        <v>984</v>
      </c>
      <c r="K444" s="7" t="s">
        <v>985</v>
      </c>
      <c r="L444" s="7" t="s">
        <v>81</v>
      </c>
      <c r="M444" s="8" t="str">
        <f t="shared" si="12"/>
        <v>U</v>
      </c>
      <c r="N444" s="8" t="str">
        <f t="shared" si="13"/>
        <v>Complete</v>
      </c>
    </row>
    <row r="445" spans="1:14" ht="27" customHeight="1">
      <c r="A445" s="6">
        <v>444</v>
      </c>
      <c r="B445" s="6" t="s">
        <v>978</v>
      </c>
      <c r="C445" s="6" t="s">
        <v>979</v>
      </c>
      <c r="D445" s="6" t="s">
        <v>92</v>
      </c>
      <c r="E445" s="6" t="s">
        <v>93</v>
      </c>
      <c r="F445" s="7" t="s">
        <v>77</v>
      </c>
      <c r="G445" s="7"/>
      <c r="H445" s="7" t="s">
        <v>94</v>
      </c>
      <c r="I445" s="7"/>
      <c r="J445" s="7" t="s">
        <v>986</v>
      </c>
      <c r="K445" s="7" t="s">
        <v>987</v>
      </c>
      <c r="L445" s="7" t="s">
        <v>81</v>
      </c>
      <c r="M445" s="8" t="str">
        <f t="shared" si="12"/>
        <v>U</v>
      </c>
      <c r="N445" s="8" t="str">
        <f t="shared" si="13"/>
        <v>Complete</v>
      </c>
    </row>
    <row r="446" spans="1:14" ht="27" customHeight="1">
      <c r="A446" s="6">
        <v>445</v>
      </c>
      <c r="B446" s="6" t="s">
        <v>978</v>
      </c>
      <c r="C446" s="6" t="s">
        <v>979</v>
      </c>
      <c r="D446" s="6" t="s">
        <v>97</v>
      </c>
      <c r="E446" s="6" t="s">
        <v>98</v>
      </c>
      <c r="F446" s="7" t="s">
        <v>77</v>
      </c>
      <c r="G446" s="7"/>
      <c r="H446" s="7" t="s">
        <v>94</v>
      </c>
      <c r="I446" s="7"/>
      <c r="J446" s="7" t="s">
        <v>988</v>
      </c>
      <c r="K446" s="7" t="s">
        <v>989</v>
      </c>
      <c r="L446" s="7" t="s">
        <v>81</v>
      </c>
      <c r="M446" s="8" t="str">
        <f t="shared" si="12"/>
        <v>U</v>
      </c>
      <c r="N446" s="8" t="str">
        <f t="shared" si="13"/>
        <v>Complete</v>
      </c>
    </row>
    <row r="447" spans="1:14" ht="40.5" customHeight="1">
      <c r="A447" s="6">
        <v>446</v>
      </c>
      <c r="B447" s="6" t="s">
        <v>978</v>
      </c>
      <c r="C447" s="6" t="s">
        <v>979</v>
      </c>
      <c r="D447" s="6" t="s">
        <v>101</v>
      </c>
      <c r="E447" s="6" t="s">
        <v>102</v>
      </c>
      <c r="F447" s="7" t="s">
        <v>103</v>
      </c>
      <c r="G447" s="7" t="s">
        <v>104</v>
      </c>
      <c r="H447" s="7"/>
      <c r="I447" s="7"/>
      <c r="J447" s="7" t="s">
        <v>990</v>
      </c>
      <c r="K447" s="7" t="s">
        <v>991</v>
      </c>
      <c r="L447" s="7" t="s">
        <v>81</v>
      </c>
      <c r="M447" s="8" t="str">
        <f t="shared" si="12"/>
        <v>NA</v>
      </c>
      <c r="N447" s="8" t="str">
        <f t="shared" si="13"/>
        <v>Complete</v>
      </c>
    </row>
    <row r="448" spans="1:14" ht="40.5" customHeight="1">
      <c r="A448" s="6">
        <v>447</v>
      </c>
      <c r="B448" s="6" t="s">
        <v>978</v>
      </c>
      <c r="C448" s="6" t="s">
        <v>979</v>
      </c>
      <c r="D448" s="6" t="s">
        <v>107</v>
      </c>
      <c r="E448" s="6" t="s">
        <v>108</v>
      </c>
      <c r="F448" s="7" t="s">
        <v>103</v>
      </c>
      <c r="G448" s="7" t="s">
        <v>104</v>
      </c>
      <c r="H448" s="7"/>
      <c r="I448" s="7"/>
      <c r="J448" s="7" t="s">
        <v>992</v>
      </c>
      <c r="K448" s="7" t="s">
        <v>505</v>
      </c>
      <c r="L448" s="7" t="s">
        <v>81</v>
      </c>
      <c r="M448" s="8" t="str">
        <f t="shared" si="12"/>
        <v>NA</v>
      </c>
      <c r="N448" s="8" t="str">
        <f t="shared" si="13"/>
        <v>Complete</v>
      </c>
    </row>
    <row r="449" spans="1:14" ht="40.5" customHeight="1">
      <c r="A449" s="6">
        <v>448</v>
      </c>
      <c r="B449" s="6" t="s">
        <v>978</v>
      </c>
      <c r="C449" s="6" t="s">
        <v>979</v>
      </c>
      <c r="D449" s="6" t="s">
        <v>112</v>
      </c>
      <c r="E449" s="6" t="s">
        <v>113</v>
      </c>
      <c r="F449" s="7" t="s">
        <v>103</v>
      </c>
      <c r="G449" s="7" t="s">
        <v>114</v>
      </c>
      <c r="H449" s="7"/>
      <c r="I449" s="7"/>
      <c r="J449" s="7" t="s">
        <v>993</v>
      </c>
      <c r="K449" s="7" t="s">
        <v>184</v>
      </c>
      <c r="L449" s="7" t="s">
        <v>132</v>
      </c>
      <c r="M449" s="8" t="str">
        <f t="shared" si="12"/>
        <v>NA</v>
      </c>
      <c r="N449" s="8" t="str">
        <f t="shared" si="13"/>
        <v>Complete</v>
      </c>
    </row>
    <row r="450" spans="1:14" ht="27" customHeight="1">
      <c r="A450" s="6">
        <v>449</v>
      </c>
      <c r="B450" s="6" t="s">
        <v>978</v>
      </c>
      <c r="C450" s="6" t="s">
        <v>979</v>
      </c>
      <c r="D450" s="6" t="s">
        <v>117</v>
      </c>
      <c r="E450" s="6" t="s">
        <v>118</v>
      </c>
      <c r="F450" s="7" t="s">
        <v>103</v>
      </c>
      <c r="G450" s="7" t="s">
        <v>104</v>
      </c>
      <c r="H450" s="7"/>
      <c r="I450" s="7"/>
      <c r="J450" s="7" t="s">
        <v>994</v>
      </c>
      <c r="K450" s="7" t="s">
        <v>995</v>
      </c>
      <c r="L450" s="7" t="s">
        <v>111</v>
      </c>
      <c r="M450" s="8" t="str">
        <f t="shared" ref="M450:M513" si="14">IF(F450="Not applicable","NA",IF(F450="Applicable",IF(H450="","",H450),""))</f>
        <v>NA</v>
      </c>
      <c r="N450" s="8" t="str">
        <f t="shared" ref="N450:N513" si="15">IF(F450="","Applicability missing",IF(AND(F450="Applicable",H450=""),"Record status missing",IF(AND(F450="Applicable",G450&lt;&gt;""),"Boundary strength must be blank for applicable rows",IF(AND(F450="Not applicable",G450=""),"Boundary strength missing",IF(AND(F450="Not applicable",H450&lt;&gt;""),"Record status must be blank for not-applicable rows",IF(AND(H450="R",I450=""),"Recovery stability missing",IF(J450="","Evidence location missing","Complete")))))))</f>
        <v>Complete</v>
      </c>
    </row>
    <row r="451" spans="1:14" ht="40.5" customHeight="1">
      <c r="A451" s="6">
        <v>450</v>
      </c>
      <c r="B451" s="6" t="s">
        <v>978</v>
      </c>
      <c r="C451" s="6" t="s">
        <v>979</v>
      </c>
      <c r="D451" s="6" t="s">
        <v>122</v>
      </c>
      <c r="E451" s="6" t="s">
        <v>123</v>
      </c>
      <c r="F451" s="7" t="s">
        <v>103</v>
      </c>
      <c r="G451" s="7" t="s">
        <v>104</v>
      </c>
      <c r="H451" s="7"/>
      <c r="I451" s="7"/>
      <c r="J451" s="7" t="s">
        <v>996</v>
      </c>
      <c r="K451" s="7" t="s">
        <v>168</v>
      </c>
      <c r="L451" s="7" t="s">
        <v>81</v>
      </c>
      <c r="M451" s="8" t="str">
        <f t="shared" si="14"/>
        <v>NA</v>
      </c>
      <c r="N451" s="8" t="str">
        <f t="shared" si="15"/>
        <v>Complete</v>
      </c>
    </row>
    <row r="452" spans="1:14" ht="27" customHeight="1">
      <c r="A452" s="6">
        <v>451</v>
      </c>
      <c r="B452" s="6" t="s">
        <v>997</v>
      </c>
      <c r="C452" s="6" t="s">
        <v>998</v>
      </c>
      <c r="D452" s="6" t="s">
        <v>75</v>
      </c>
      <c r="E452" s="6" t="s">
        <v>76</v>
      </c>
      <c r="F452" s="7" t="s">
        <v>77</v>
      </c>
      <c r="G452" s="7"/>
      <c r="H452" s="7" t="s">
        <v>78</v>
      </c>
      <c r="I452" s="7"/>
      <c r="J452" s="7" t="s">
        <v>999</v>
      </c>
      <c r="K452" s="7" t="s">
        <v>1000</v>
      </c>
      <c r="L452" s="7" t="s">
        <v>132</v>
      </c>
      <c r="M452" s="8" t="str">
        <f t="shared" si="14"/>
        <v>D</v>
      </c>
      <c r="N452" s="8" t="str">
        <f t="shared" si="15"/>
        <v>Complete</v>
      </c>
    </row>
    <row r="453" spans="1:14" ht="27" customHeight="1">
      <c r="A453" s="6">
        <v>452</v>
      </c>
      <c r="B453" s="6" t="s">
        <v>997</v>
      </c>
      <c r="C453" s="6" t="s">
        <v>998</v>
      </c>
      <c r="D453" s="6" t="s">
        <v>82</v>
      </c>
      <c r="E453" s="6" t="s">
        <v>83</v>
      </c>
      <c r="F453" s="7" t="s">
        <v>77</v>
      </c>
      <c r="G453" s="7"/>
      <c r="H453" s="7" t="s">
        <v>88</v>
      </c>
      <c r="I453" s="7" t="s">
        <v>89</v>
      </c>
      <c r="J453" s="7" t="s">
        <v>1001</v>
      </c>
      <c r="K453" s="7" t="s">
        <v>1002</v>
      </c>
      <c r="L453" s="7" t="s">
        <v>81</v>
      </c>
      <c r="M453" s="8" t="str">
        <f t="shared" si="14"/>
        <v>R</v>
      </c>
      <c r="N453" s="8" t="str">
        <f t="shared" si="15"/>
        <v>Complete</v>
      </c>
    </row>
    <row r="454" spans="1:14" ht="27" customHeight="1">
      <c r="A454" s="6">
        <v>453</v>
      </c>
      <c r="B454" s="6" t="s">
        <v>997</v>
      </c>
      <c r="C454" s="6" t="s">
        <v>998</v>
      </c>
      <c r="D454" s="6" t="s">
        <v>86</v>
      </c>
      <c r="E454" s="6" t="s">
        <v>87</v>
      </c>
      <c r="F454" s="7" t="s">
        <v>77</v>
      </c>
      <c r="G454" s="7"/>
      <c r="H454" s="7" t="s">
        <v>78</v>
      </c>
      <c r="I454" s="7"/>
      <c r="J454" s="7" t="s">
        <v>1003</v>
      </c>
      <c r="K454" s="7" t="s">
        <v>1004</v>
      </c>
      <c r="L454" s="7" t="s">
        <v>81</v>
      </c>
      <c r="M454" s="8" t="str">
        <f t="shared" si="14"/>
        <v>D</v>
      </c>
      <c r="N454" s="8" t="str">
        <f t="shared" si="15"/>
        <v>Complete</v>
      </c>
    </row>
    <row r="455" spans="1:14" ht="27" customHeight="1">
      <c r="A455" s="6">
        <v>454</v>
      </c>
      <c r="B455" s="6" t="s">
        <v>997</v>
      </c>
      <c r="C455" s="6" t="s">
        <v>998</v>
      </c>
      <c r="D455" s="6" t="s">
        <v>92</v>
      </c>
      <c r="E455" s="6" t="s">
        <v>93</v>
      </c>
      <c r="F455" s="7" t="s">
        <v>77</v>
      </c>
      <c r="G455" s="7"/>
      <c r="H455" s="7" t="s">
        <v>88</v>
      </c>
      <c r="I455" s="7" t="s">
        <v>119</v>
      </c>
      <c r="J455" s="7" t="s">
        <v>1005</v>
      </c>
      <c r="K455" s="7" t="s">
        <v>1006</v>
      </c>
      <c r="L455" s="7" t="s">
        <v>81</v>
      </c>
      <c r="M455" s="8" t="str">
        <f t="shared" si="14"/>
        <v>R</v>
      </c>
      <c r="N455" s="8" t="str">
        <f t="shared" si="15"/>
        <v>Complete</v>
      </c>
    </row>
    <row r="456" spans="1:14" ht="27" customHeight="1">
      <c r="A456" s="6">
        <v>455</v>
      </c>
      <c r="B456" s="6" t="s">
        <v>997</v>
      </c>
      <c r="C456" s="6" t="s">
        <v>998</v>
      </c>
      <c r="D456" s="6" t="s">
        <v>97</v>
      </c>
      <c r="E456" s="6" t="s">
        <v>98</v>
      </c>
      <c r="F456" s="7" t="s">
        <v>77</v>
      </c>
      <c r="G456" s="7"/>
      <c r="H456" s="7" t="s">
        <v>88</v>
      </c>
      <c r="I456" s="7" t="s">
        <v>119</v>
      </c>
      <c r="J456" s="7" t="s">
        <v>1007</v>
      </c>
      <c r="K456" s="7" t="s">
        <v>1008</v>
      </c>
      <c r="L456" s="7" t="s">
        <v>81</v>
      </c>
      <c r="M456" s="8" t="str">
        <f t="shared" si="14"/>
        <v>R</v>
      </c>
      <c r="N456" s="8" t="str">
        <f t="shared" si="15"/>
        <v>Complete</v>
      </c>
    </row>
    <row r="457" spans="1:14" ht="40.5" customHeight="1">
      <c r="A457" s="6">
        <v>456</v>
      </c>
      <c r="B457" s="6" t="s">
        <v>997</v>
      </c>
      <c r="C457" s="6" t="s">
        <v>998</v>
      </c>
      <c r="D457" s="6" t="s">
        <v>101</v>
      </c>
      <c r="E457" s="6" t="s">
        <v>102</v>
      </c>
      <c r="F457" s="7" t="s">
        <v>103</v>
      </c>
      <c r="G457" s="7" t="s">
        <v>104</v>
      </c>
      <c r="H457" s="7"/>
      <c r="I457" s="7"/>
      <c r="J457" s="7" t="s">
        <v>1009</v>
      </c>
      <c r="K457" s="7" t="s">
        <v>720</v>
      </c>
      <c r="L457" s="7" t="s">
        <v>81</v>
      </c>
      <c r="M457" s="8" t="str">
        <f t="shared" si="14"/>
        <v>NA</v>
      </c>
      <c r="N457" s="8" t="str">
        <f t="shared" si="15"/>
        <v>Complete</v>
      </c>
    </row>
    <row r="458" spans="1:14" ht="27" customHeight="1">
      <c r="A458" s="6">
        <v>457</v>
      </c>
      <c r="B458" s="6" t="s">
        <v>997</v>
      </c>
      <c r="C458" s="6" t="s">
        <v>998</v>
      </c>
      <c r="D458" s="6" t="s">
        <v>107</v>
      </c>
      <c r="E458" s="6" t="s">
        <v>108</v>
      </c>
      <c r="F458" s="7" t="s">
        <v>77</v>
      </c>
      <c r="G458" s="7"/>
      <c r="H458" s="7" t="s">
        <v>94</v>
      </c>
      <c r="I458" s="7"/>
      <c r="J458" s="7" t="s">
        <v>1010</v>
      </c>
      <c r="K458" s="7" t="s">
        <v>1011</v>
      </c>
      <c r="L458" s="7" t="s">
        <v>81</v>
      </c>
      <c r="M458" s="8" t="str">
        <f t="shared" si="14"/>
        <v>U</v>
      </c>
      <c r="N458" s="8" t="str">
        <f t="shared" si="15"/>
        <v>Complete</v>
      </c>
    </row>
    <row r="459" spans="1:14" ht="27" customHeight="1">
      <c r="A459" s="6">
        <v>458</v>
      </c>
      <c r="B459" s="6" t="s">
        <v>997</v>
      </c>
      <c r="C459" s="6" t="s">
        <v>998</v>
      </c>
      <c r="D459" s="6" t="s">
        <v>112</v>
      </c>
      <c r="E459" s="6" t="s">
        <v>113</v>
      </c>
      <c r="F459" s="7" t="s">
        <v>103</v>
      </c>
      <c r="G459" s="7" t="s">
        <v>114</v>
      </c>
      <c r="H459" s="7"/>
      <c r="I459" s="7"/>
      <c r="J459" s="7" t="s">
        <v>1012</v>
      </c>
      <c r="K459" s="7" t="s">
        <v>1013</v>
      </c>
      <c r="L459" s="7" t="s">
        <v>81</v>
      </c>
      <c r="M459" s="8" t="str">
        <f t="shared" si="14"/>
        <v>NA</v>
      </c>
      <c r="N459" s="8" t="str">
        <f t="shared" si="15"/>
        <v>Complete</v>
      </c>
    </row>
    <row r="460" spans="1:14" ht="27" customHeight="1">
      <c r="A460" s="6">
        <v>459</v>
      </c>
      <c r="B460" s="6" t="s">
        <v>997</v>
      </c>
      <c r="C460" s="6" t="s">
        <v>998</v>
      </c>
      <c r="D460" s="6" t="s">
        <v>117</v>
      </c>
      <c r="E460" s="6" t="s">
        <v>118</v>
      </c>
      <c r="F460" s="7" t="s">
        <v>103</v>
      </c>
      <c r="G460" s="7" t="s">
        <v>104</v>
      </c>
      <c r="H460" s="7"/>
      <c r="I460" s="7"/>
      <c r="J460" s="7" t="s">
        <v>1014</v>
      </c>
      <c r="K460" s="7" t="s">
        <v>1015</v>
      </c>
      <c r="L460" s="7" t="s">
        <v>81</v>
      </c>
      <c r="M460" s="8" t="str">
        <f t="shared" si="14"/>
        <v>NA</v>
      </c>
      <c r="N460" s="8" t="str">
        <f t="shared" si="15"/>
        <v>Complete</v>
      </c>
    </row>
    <row r="461" spans="1:14" ht="40.5" customHeight="1">
      <c r="A461" s="6">
        <v>460</v>
      </c>
      <c r="B461" s="6" t="s">
        <v>997</v>
      </c>
      <c r="C461" s="6" t="s">
        <v>998</v>
      </c>
      <c r="D461" s="6" t="s">
        <v>122</v>
      </c>
      <c r="E461" s="6" t="s">
        <v>123</v>
      </c>
      <c r="F461" s="7" t="s">
        <v>103</v>
      </c>
      <c r="G461" s="7" t="s">
        <v>104</v>
      </c>
      <c r="H461" s="7"/>
      <c r="I461" s="7"/>
      <c r="J461" s="7" t="s">
        <v>1016</v>
      </c>
      <c r="K461" s="7" t="s">
        <v>1017</v>
      </c>
      <c r="L461" s="7" t="s">
        <v>81</v>
      </c>
      <c r="M461" s="8" t="str">
        <f t="shared" si="14"/>
        <v>NA</v>
      </c>
      <c r="N461" s="8" t="str">
        <f t="shared" si="15"/>
        <v>Complete</v>
      </c>
    </row>
    <row r="462" spans="1:14" ht="27" customHeight="1">
      <c r="A462" s="6">
        <v>461</v>
      </c>
      <c r="B462" s="6" t="s">
        <v>1018</v>
      </c>
      <c r="C462" s="6" t="s">
        <v>1019</v>
      </c>
      <c r="D462" s="6" t="s">
        <v>75</v>
      </c>
      <c r="E462" s="6" t="s">
        <v>76</v>
      </c>
      <c r="F462" s="7" t="s">
        <v>77</v>
      </c>
      <c r="G462" s="7"/>
      <c r="H462" s="7" t="s">
        <v>78</v>
      </c>
      <c r="I462" s="7"/>
      <c r="J462" s="7" t="s">
        <v>1020</v>
      </c>
      <c r="K462" s="7" t="s">
        <v>1021</v>
      </c>
      <c r="L462" s="7" t="s">
        <v>81</v>
      </c>
      <c r="M462" s="8" t="str">
        <f t="shared" si="14"/>
        <v>D</v>
      </c>
      <c r="N462" s="8" t="str">
        <f t="shared" si="15"/>
        <v>Complete</v>
      </c>
    </row>
    <row r="463" spans="1:14" ht="40.5" customHeight="1">
      <c r="A463" s="6">
        <v>462</v>
      </c>
      <c r="B463" s="6" t="s">
        <v>1018</v>
      </c>
      <c r="C463" s="6" t="s">
        <v>1019</v>
      </c>
      <c r="D463" s="6" t="s">
        <v>82</v>
      </c>
      <c r="E463" s="6" t="s">
        <v>83</v>
      </c>
      <c r="F463" s="7" t="s">
        <v>77</v>
      </c>
      <c r="G463" s="7"/>
      <c r="H463" s="7" t="s">
        <v>88</v>
      </c>
      <c r="I463" s="7" t="s">
        <v>89</v>
      </c>
      <c r="J463" s="7" t="s">
        <v>1022</v>
      </c>
      <c r="K463" s="7" t="s">
        <v>1023</v>
      </c>
      <c r="L463" s="7" t="s">
        <v>81</v>
      </c>
      <c r="M463" s="8" t="str">
        <f t="shared" si="14"/>
        <v>R</v>
      </c>
      <c r="N463" s="8" t="str">
        <f t="shared" si="15"/>
        <v>Complete</v>
      </c>
    </row>
    <row r="464" spans="1:14" ht="27" customHeight="1">
      <c r="A464" s="6">
        <v>463</v>
      </c>
      <c r="B464" s="6" t="s">
        <v>1018</v>
      </c>
      <c r="C464" s="6" t="s">
        <v>1019</v>
      </c>
      <c r="D464" s="6" t="s">
        <v>86</v>
      </c>
      <c r="E464" s="6" t="s">
        <v>87</v>
      </c>
      <c r="F464" s="7" t="s">
        <v>77</v>
      </c>
      <c r="G464" s="7"/>
      <c r="H464" s="7" t="s">
        <v>78</v>
      </c>
      <c r="I464" s="7"/>
      <c r="J464" s="7" t="s">
        <v>1024</v>
      </c>
      <c r="K464" s="7" t="s">
        <v>1025</v>
      </c>
      <c r="L464" s="7" t="s">
        <v>111</v>
      </c>
      <c r="M464" s="8" t="str">
        <f t="shared" si="14"/>
        <v>D</v>
      </c>
      <c r="N464" s="8" t="str">
        <f t="shared" si="15"/>
        <v>Complete</v>
      </c>
    </row>
    <row r="465" spans="1:14" ht="27" customHeight="1">
      <c r="A465" s="6">
        <v>464</v>
      </c>
      <c r="B465" s="6" t="s">
        <v>1018</v>
      </c>
      <c r="C465" s="6" t="s">
        <v>1019</v>
      </c>
      <c r="D465" s="6" t="s">
        <v>92</v>
      </c>
      <c r="E465" s="6" t="s">
        <v>93</v>
      </c>
      <c r="F465" s="7" t="s">
        <v>77</v>
      </c>
      <c r="G465" s="7"/>
      <c r="H465" s="7" t="s">
        <v>94</v>
      </c>
      <c r="I465" s="7"/>
      <c r="J465" s="7" t="s">
        <v>1026</v>
      </c>
      <c r="K465" s="7" t="s">
        <v>1027</v>
      </c>
      <c r="L465" s="7" t="s">
        <v>81</v>
      </c>
      <c r="M465" s="8" t="str">
        <f t="shared" si="14"/>
        <v>U</v>
      </c>
      <c r="N465" s="8" t="str">
        <f t="shared" si="15"/>
        <v>Complete</v>
      </c>
    </row>
    <row r="466" spans="1:14" ht="40.5" customHeight="1">
      <c r="A466" s="6">
        <v>465</v>
      </c>
      <c r="B466" s="6" t="s">
        <v>1018</v>
      </c>
      <c r="C466" s="6" t="s">
        <v>1019</v>
      </c>
      <c r="D466" s="6" t="s">
        <v>97</v>
      </c>
      <c r="E466" s="6" t="s">
        <v>98</v>
      </c>
      <c r="F466" s="7" t="s">
        <v>77</v>
      </c>
      <c r="G466" s="7"/>
      <c r="H466" s="7" t="s">
        <v>94</v>
      </c>
      <c r="I466" s="7"/>
      <c r="J466" s="7" t="s">
        <v>1028</v>
      </c>
      <c r="K466" s="7" t="s">
        <v>1029</v>
      </c>
      <c r="L466" s="7" t="s">
        <v>81</v>
      </c>
      <c r="M466" s="8" t="str">
        <f t="shared" si="14"/>
        <v>U</v>
      </c>
      <c r="N466" s="8" t="str">
        <f t="shared" si="15"/>
        <v>Complete</v>
      </c>
    </row>
    <row r="467" spans="1:14" ht="40.5" customHeight="1">
      <c r="A467" s="6">
        <v>466</v>
      </c>
      <c r="B467" s="6" t="s">
        <v>1018</v>
      </c>
      <c r="C467" s="6" t="s">
        <v>1019</v>
      </c>
      <c r="D467" s="6" t="s">
        <v>101</v>
      </c>
      <c r="E467" s="6" t="s">
        <v>102</v>
      </c>
      <c r="F467" s="7" t="s">
        <v>103</v>
      </c>
      <c r="G467" s="7" t="s">
        <v>104</v>
      </c>
      <c r="H467" s="7"/>
      <c r="I467" s="7"/>
      <c r="J467" s="7" t="s">
        <v>1030</v>
      </c>
      <c r="K467" s="7" t="s">
        <v>407</v>
      </c>
      <c r="L467" s="7" t="s">
        <v>81</v>
      </c>
      <c r="M467" s="8" t="str">
        <f t="shared" si="14"/>
        <v>NA</v>
      </c>
      <c r="N467" s="8" t="str">
        <f t="shared" si="15"/>
        <v>Complete</v>
      </c>
    </row>
    <row r="468" spans="1:14" ht="27" customHeight="1">
      <c r="A468" s="6">
        <v>467</v>
      </c>
      <c r="B468" s="6" t="s">
        <v>1018</v>
      </c>
      <c r="C468" s="6" t="s">
        <v>1019</v>
      </c>
      <c r="D468" s="6" t="s">
        <v>107</v>
      </c>
      <c r="E468" s="6" t="s">
        <v>108</v>
      </c>
      <c r="F468" s="7" t="s">
        <v>77</v>
      </c>
      <c r="G468" s="7"/>
      <c r="H468" s="7" t="s">
        <v>94</v>
      </c>
      <c r="I468" s="7"/>
      <c r="J468" s="7" t="s">
        <v>1031</v>
      </c>
      <c r="K468" s="7" t="s">
        <v>1032</v>
      </c>
      <c r="L468" s="7" t="s">
        <v>111</v>
      </c>
      <c r="M468" s="8" t="str">
        <f t="shared" si="14"/>
        <v>U</v>
      </c>
      <c r="N468" s="8" t="str">
        <f t="shared" si="15"/>
        <v>Complete</v>
      </c>
    </row>
    <row r="469" spans="1:14" ht="27" customHeight="1">
      <c r="A469" s="6">
        <v>468</v>
      </c>
      <c r="B469" s="6" t="s">
        <v>1018</v>
      </c>
      <c r="C469" s="6" t="s">
        <v>1019</v>
      </c>
      <c r="D469" s="6" t="s">
        <v>112</v>
      </c>
      <c r="E469" s="6" t="s">
        <v>113</v>
      </c>
      <c r="F469" s="7" t="s">
        <v>77</v>
      </c>
      <c r="G469" s="7"/>
      <c r="H469" s="7" t="s">
        <v>94</v>
      </c>
      <c r="I469" s="7"/>
      <c r="J469" s="7" t="s">
        <v>1033</v>
      </c>
      <c r="K469" s="7" t="s">
        <v>1034</v>
      </c>
      <c r="L469" s="7" t="s">
        <v>111</v>
      </c>
      <c r="M469" s="8" t="str">
        <f t="shared" si="14"/>
        <v>U</v>
      </c>
      <c r="N469" s="8" t="str">
        <f t="shared" si="15"/>
        <v>Complete</v>
      </c>
    </row>
    <row r="470" spans="1:14" ht="40.5" customHeight="1">
      <c r="A470" s="6">
        <v>469</v>
      </c>
      <c r="B470" s="6" t="s">
        <v>1018</v>
      </c>
      <c r="C470" s="6" t="s">
        <v>1019</v>
      </c>
      <c r="D470" s="6" t="s">
        <v>117</v>
      </c>
      <c r="E470" s="6" t="s">
        <v>118</v>
      </c>
      <c r="F470" s="7" t="s">
        <v>103</v>
      </c>
      <c r="G470" s="7" t="s">
        <v>104</v>
      </c>
      <c r="H470" s="7"/>
      <c r="I470" s="7"/>
      <c r="J470" s="7" t="s">
        <v>1035</v>
      </c>
      <c r="K470" s="7" t="s">
        <v>1036</v>
      </c>
      <c r="L470" s="7" t="s">
        <v>81</v>
      </c>
      <c r="M470" s="8" t="str">
        <f t="shared" si="14"/>
        <v>NA</v>
      </c>
      <c r="N470" s="8" t="str">
        <f t="shared" si="15"/>
        <v>Complete</v>
      </c>
    </row>
    <row r="471" spans="1:14" ht="40.5" customHeight="1">
      <c r="A471" s="6">
        <v>470</v>
      </c>
      <c r="B471" s="6" t="s">
        <v>1018</v>
      </c>
      <c r="C471" s="6" t="s">
        <v>1019</v>
      </c>
      <c r="D471" s="6" t="s">
        <v>122</v>
      </c>
      <c r="E471" s="6" t="s">
        <v>123</v>
      </c>
      <c r="F471" s="7" t="s">
        <v>103</v>
      </c>
      <c r="G471" s="7" t="s">
        <v>104</v>
      </c>
      <c r="H471" s="7"/>
      <c r="I471" s="7"/>
      <c r="J471" s="7" t="s">
        <v>1037</v>
      </c>
      <c r="K471" s="7" t="s">
        <v>1038</v>
      </c>
      <c r="L471" s="7" t="s">
        <v>111</v>
      </c>
      <c r="M471" s="8" t="str">
        <f t="shared" si="14"/>
        <v>NA</v>
      </c>
      <c r="N471" s="8" t="str">
        <f t="shared" si="15"/>
        <v>Complete</v>
      </c>
    </row>
    <row r="472" spans="1:14" ht="27" customHeight="1">
      <c r="A472" s="6">
        <v>471</v>
      </c>
      <c r="B472" s="6" t="s">
        <v>1039</v>
      </c>
      <c r="C472" s="6" t="s">
        <v>1040</v>
      </c>
      <c r="D472" s="6" t="s">
        <v>75</v>
      </c>
      <c r="E472" s="6" t="s">
        <v>76</v>
      </c>
      <c r="F472" s="7" t="s">
        <v>77</v>
      </c>
      <c r="G472" s="7"/>
      <c r="H472" s="7" t="s">
        <v>78</v>
      </c>
      <c r="I472" s="7"/>
      <c r="J472" s="7" t="s">
        <v>1041</v>
      </c>
      <c r="K472" s="7" t="s">
        <v>1042</v>
      </c>
      <c r="L472" s="7" t="s">
        <v>81</v>
      </c>
      <c r="M472" s="8" t="str">
        <f t="shared" si="14"/>
        <v>D</v>
      </c>
      <c r="N472" s="8" t="str">
        <f t="shared" si="15"/>
        <v>Complete</v>
      </c>
    </row>
    <row r="473" spans="1:14" ht="27" customHeight="1">
      <c r="A473" s="6">
        <v>472</v>
      </c>
      <c r="B473" s="6" t="s">
        <v>1039</v>
      </c>
      <c r="C473" s="6" t="s">
        <v>1040</v>
      </c>
      <c r="D473" s="6" t="s">
        <v>82</v>
      </c>
      <c r="E473" s="6" t="s">
        <v>83</v>
      </c>
      <c r="F473" s="7" t="s">
        <v>77</v>
      </c>
      <c r="G473" s="7"/>
      <c r="H473" s="7" t="s">
        <v>88</v>
      </c>
      <c r="I473" s="7" t="s">
        <v>89</v>
      </c>
      <c r="J473" s="7" t="s">
        <v>1043</v>
      </c>
      <c r="K473" s="7" t="s">
        <v>1044</v>
      </c>
      <c r="L473" s="7" t="s">
        <v>81</v>
      </c>
      <c r="M473" s="8" t="str">
        <f t="shared" si="14"/>
        <v>R</v>
      </c>
      <c r="N473" s="8" t="str">
        <f t="shared" si="15"/>
        <v>Complete</v>
      </c>
    </row>
    <row r="474" spans="1:14" ht="40.5" customHeight="1">
      <c r="A474" s="6">
        <v>473</v>
      </c>
      <c r="B474" s="6" t="s">
        <v>1039</v>
      </c>
      <c r="C474" s="6" t="s">
        <v>1040</v>
      </c>
      <c r="D474" s="6" t="s">
        <v>86</v>
      </c>
      <c r="E474" s="6" t="s">
        <v>87</v>
      </c>
      <c r="F474" s="7" t="s">
        <v>103</v>
      </c>
      <c r="G474" s="7" t="s">
        <v>104</v>
      </c>
      <c r="H474" s="7"/>
      <c r="I474" s="7"/>
      <c r="J474" s="7" t="s">
        <v>1045</v>
      </c>
      <c r="K474" s="7" t="s">
        <v>1046</v>
      </c>
      <c r="L474" s="7" t="s">
        <v>81</v>
      </c>
      <c r="M474" s="8" t="str">
        <f t="shared" si="14"/>
        <v>NA</v>
      </c>
      <c r="N474" s="8" t="str">
        <f t="shared" si="15"/>
        <v>Complete</v>
      </c>
    </row>
    <row r="475" spans="1:14" ht="27" customHeight="1">
      <c r="A475" s="6">
        <v>474</v>
      </c>
      <c r="B475" s="6" t="s">
        <v>1039</v>
      </c>
      <c r="C475" s="6" t="s">
        <v>1040</v>
      </c>
      <c r="D475" s="6" t="s">
        <v>92</v>
      </c>
      <c r="E475" s="6" t="s">
        <v>93</v>
      </c>
      <c r="F475" s="7" t="s">
        <v>77</v>
      </c>
      <c r="G475" s="7"/>
      <c r="H475" s="7" t="s">
        <v>88</v>
      </c>
      <c r="I475" s="7" t="s">
        <v>119</v>
      </c>
      <c r="J475" s="7" t="s">
        <v>1047</v>
      </c>
      <c r="K475" s="7" t="s">
        <v>1048</v>
      </c>
      <c r="L475" s="7" t="s">
        <v>81</v>
      </c>
      <c r="M475" s="8" t="str">
        <f t="shared" si="14"/>
        <v>R</v>
      </c>
      <c r="N475" s="8" t="str">
        <f t="shared" si="15"/>
        <v>Complete</v>
      </c>
    </row>
    <row r="476" spans="1:14" ht="27" customHeight="1">
      <c r="A476" s="6">
        <v>475</v>
      </c>
      <c r="B476" s="6" t="s">
        <v>1039</v>
      </c>
      <c r="C476" s="6" t="s">
        <v>1040</v>
      </c>
      <c r="D476" s="6" t="s">
        <v>97</v>
      </c>
      <c r="E476" s="6" t="s">
        <v>98</v>
      </c>
      <c r="F476" s="7" t="s">
        <v>77</v>
      </c>
      <c r="G476" s="7"/>
      <c r="H476" s="7" t="s">
        <v>88</v>
      </c>
      <c r="I476" s="7" t="s">
        <v>119</v>
      </c>
      <c r="J476" s="7" t="s">
        <v>1049</v>
      </c>
      <c r="K476" s="7" t="s">
        <v>1050</v>
      </c>
      <c r="L476" s="7" t="s">
        <v>111</v>
      </c>
      <c r="M476" s="8" t="str">
        <f t="shared" si="14"/>
        <v>R</v>
      </c>
      <c r="N476" s="8" t="str">
        <f t="shared" si="15"/>
        <v>Complete</v>
      </c>
    </row>
    <row r="477" spans="1:14" ht="40.5" customHeight="1">
      <c r="A477" s="6">
        <v>476</v>
      </c>
      <c r="B477" s="6" t="s">
        <v>1039</v>
      </c>
      <c r="C477" s="6" t="s">
        <v>1040</v>
      </c>
      <c r="D477" s="6" t="s">
        <v>101</v>
      </c>
      <c r="E477" s="6" t="s">
        <v>102</v>
      </c>
      <c r="F477" s="7" t="s">
        <v>103</v>
      </c>
      <c r="G477" s="7" t="s">
        <v>104</v>
      </c>
      <c r="H477" s="7"/>
      <c r="I477" s="7"/>
      <c r="J477" s="7" t="s">
        <v>1051</v>
      </c>
      <c r="K477" s="7" t="s">
        <v>1052</v>
      </c>
      <c r="L477" s="7" t="s">
        <v>81</v>
      </c>
      <c r="M477" s="8" t="str">
        <f t="shared" si="14"/>
        <v>NA</v>
      </c>
      <c r="N477" s="8" t="str">
        <f t="shared" si="15"/>
        <v>Complete</v>
      </c>
    </row>
    <row r="478" spans="1:14" ht="40.5" customHeight="1">
      <c r="A478" s="6">
        <v>477</v>
      </c>
      <c r="B478" s="6" t="s">
        <v>1039</v>
      </c>
      <c r="C478" s="6" t="s">
        <v>1040</v>
      </c>
      <c r="D478" s="6" t="s">
        <v>107</v>
      </c>
      <c r="E478" s="6" t="s">
        <v>108</v>
      </c>
      <c r="F478" s="7" t="s">
        <v>103</v>
      </c>
      <c r="G478" s="7" t="s">
        <v>104</v>
      </c>
      <c r="H478" s="7"/>
      <c r="I478" s="7"/>
      <c r="J478" s="7" t="s">
        <v>1053</v>
      </c>
      <c r="K478" s="7" t="s">
        <v>505</v>
      </c>
      <c r="L478" s="7" t="s">
        <v>81</v>
      </c>
      <c r="M478" s="8" t="str">
        <f t="shared" si="14"/>
        <v>NA</v>
      </c>
      <c r="N478" s="8" t="str">
        <f t="shared" si="15"/>
        <v>Complete</v>
      </c>
    </row>
    <row r="479" spans="1:14" ht="27" customHeight="1">
      <c r="A479" s="6">
        <v>478</v>
      </c>
      <c r="B479" s="6" t="s">
        <v>1039</v>
      </c>
      <c r="C479" s="6" t="s">
        <v>1040</v>
      </c>
      <c r="D479" s="6" t="s">
        <v>112</v>
      </c>
      <c r="E479" s="6" t="s">
        <v>113</v>
      </c>
      <c r="F479" s="7" t="s">
        <v>103</v>
      </c>
      <c r="G479" s="7" t="s">
        <v>114</v>
      </c>
      <c r="H479" s="7"/>
      <c r="I479" s="7"/>
      <c r="J479" s="7" t="s">
        <v>1054</v>
      </c>
      <c r="K479" s="7" t="s">
        <v>1055</v>
      </c>
      <c r="L479" s="7" t="s">
        <v>81</v>
      </c>
      <c r="M479" s="8" t="str">
        <f t="shared" si="14"/>
        <v>NA</v>
      </c>
      <c r="N479" s="8" t="str">
        <f t="shared" si="15"/>
        <v>Complete</v>
      </c>
    </row>
    <row r="480" spans="1:14" ht="40.5" customHeight="1">
      <c r="A480" s="6">
        <v>479</v>
      </c>
      <c r="B480" s="6" t="s">
        <v>1039</v>
      </c>
      <c r="C480" s="6" t="s">
        <v>1040</v>
      </c>
      <c r="D480" s="6" t="s">
        <v>117</v>
      </c>
      <c r="E480" s="6" t="s">
        <v>118</v>
      </c>
      <c r="F480" s="7" t="s">
        <v>103</v>
      </c>
      <c r="G480" s="7" t="s">
        <v>104</v>
      </c>
      <c r="H480" s="7"/>
      <c r="I480" s="7"/>
      <c r="J480" s="7" t="s">
        <v>1056</v>
      </c>
      <c r="K480" s="7" t="s">
        <v>1057</v>
      </c>
      <c r="L480" s="7" t="s">
        <v>81</v>
      </c>
      <c r="M480" s="8" t="str">
        <f t="shared" si="14"/>
        <v>NA</v>
      </c>
      <c r="N480" s="8" t="str">
        <f t="shared" si="15"/>
        <v>Complete</v>
      </c>
    </row>
    <row r="481" spans="1:14" ht="40.5" customHeight="1">
      <c r="A481" s="6">
        <v>480</v>
      </c>
      <c r="B481" s="6" t="s">
        <v>1039</v>
      </c>
      <c r="C481" s="6" t="s">
        <v>1040</v>
      </c>
      <c r="D481" s="6" t="s">
        <v>122</v>
      </c>
      <c r="E481" s="6" t="s">
        <v>123</v>
      </c>
      <c r="F481" s="7" t="s">
        <v>103</v>
      </c>
      <c r="G481" s="7" t="s">
        <v>114</v>
      </c>
      <c r="H481" s="7"/>
      <c r="I481" s="7"/>
      <c r="J481" s="7" t="s">
        <v>1056</v>
      </c>
      <c r="K481" s="7" t="s">
        <v>1058</v>
      </c>
      <c r="L481" s="7" t="s">
        <v>81</v>
      </c>
      <c r="M481" s="8" t="str">
        <f t="shared" si="14"/>
        <v>NA</v>
      </c>
      <c r="N481" s="8" t="str">
        <f t="shared" si="15"/>
        <v>Complete</v>
      </c>
    </row>
    <row r="482" spans="1:14" ht="40.5" customHeight="1">
      <c r="A482" s="6">
        <v>481</v>
      </c>
      <c r="B482" s="6" t="s">
        <v>1059</v>
      </c>
      <c r="C482" s="6" t="s">
        <v>1060</v>
      </c>
      <c r="D482" s="6" t="s">
        <v>75</v>
      </c>
      <c r="E482" s="6" t="s">
        <v>76</v>
      </c>
      <c r="F482" s="7" t="s">
        <v>77</v>
      </c>
      <c r="G482" s="7"/>
      <c r="H482" s="7" t="s">
        <v>78</v>
      </c>
      <c r="I482" s="7"/>
      <c r="J482" s="7" t="s">
        <v>1061</v>
      </c>
      <c r="K482" s="7" t="s">
        <v>1062</v>
      </c>
      <c r="L482" s="7" t="s">
        <v>111</v>
      </c>
      <c r="M482" s="8" t="str">
        <f t="shared" si="14"/>
        <v>D</v>
      </c>
      <c r="N482" s="8" t="str">
        <f t="shared" si="15"/>
        <v>Complete</v>
      </c>
    </row>
    <row r="483" spans="1:14" ht="27" customHeight="1">
      <c r="A483" s="6">
        <v>482</v>
      </c>
      <c r="B483" s="6" t="s">
        <v>1059</v>
      </c>
      <c r="C483" s="6" t="s">
        <v>1060</v>
      </c>
      <c r="D483" s="6" t="s">
        <v>82</v>
      </c>
      <c r="E483" s="6" t="s">
        <v>83</v>
      </c>
      <c r="F483" s="7" t="s">
        <v>77</v>
      </c>
      <c r="G483" s="7"/>
      <c r="H483" s="7" t="s">
        <v>78</v>
      </c>
      <c r="I483" s="7"/>
      <c r="J483" s="7" t="s">
        <v>1063</v>
      </c>
      <c r="K483" s="7" t="s">
        <v>1064</v>
      </c>
      <c r="L483" s="7" t="s">
        <v>81</v>
      </c>
      <c r="M483" s="8" t="str">
        <f t="shared" si="14"/>
        <v>D</v>
      </c>
      <c r="N483" s="8" t="str">
        <f t="shared" si="15"/>
        <v>Complete</v>
      </c>
    </row>
    <row r="484" spans="1:14" ht="27" customHeight="1">
      <c r="A484" s="6">
        <v>483</v>
      </c>
      <c r="B484" s="6" t="s">
        <v>1059</v>
      </c>
      <c r="C484" s="6" t="s">
        <v>1060</v>
      </c>
      <c r="D484" s="6" t="s">
        <v>86</v>
      </c>
      <c r="E484" s="6" t="s">
        <v>87</v>
      </c>
      <c r="F484" s="7" t="s">
        <v>77</v>
      </c>
      <c r="G484" s="7"/>
      <c r="H484" s="7" t="s">
        <v>94</v>
      </c>
      <c r="I484" s="7"/>
      <c r="J484" s="7" t="s">
        <v>1065</v>
      </c>
      <c r="K484" s="7" t="s">
        <v>1066</v>
      </c>
      <c r="L484" s="7" t="s">
        <v>81</v>
      </c>
      <c r="M484" s="8" t="str">
        <f t="shared" si="14"/>
        <v>U</v>
      </c>
      <c r="N484" s="8" t="str">
        <f t="shared" si="15"/>
        <v>Complete</v>
      </c>
    </row>
    <row r="485" spans="1:14" ht="40.5" customHeight="1">
      <c r="A485" s="6">
        <v>484</v>
      </c>
      <c r="B485" s="6" t="s">
        <v>1059</v>
      </c>
      <c r="C485" s="6" t="s">
        <v>1060</v>
      </c>
      <c r="D485" s="6" t="s">
        <v>92</v>
      </c>
      <c r="E485" s="6" t="s">
        <v>93</v>
      </c>
      <c r="F485" s="7" t="s">
        <v>77</v>
      </c>
      <c r="G485" s="7"/>
      <c r="H485" s="7" t="s">
        <v>94</v>
      </c>
      <c r="I485" s="7"/>
      <c r="J485" s="7" t="s">
        <v>1067</v>
      </c>
      <c r="K485" s="7" t="s">
        <v>1068</v>
      </c>
      <c r="L485" s="7" t="s">
        <v>81</v>
      </c>
      <c r="M485" s="8" t="str">
        <f t="shared" si="14"/>
        <v>U</v>
      </c>
      <c r="N485" s="8" t="str">
        <f t="shared" si="15"/>
        <v>Complete</v>
      </c>
    </row>
    <row r="486" spans="1:14" ht="27" customHeight="1">
      <c r="A486" s="6">
        <v>485</v>
      </c>
      <c r="B486" s="6" t="s">
        <v>1059</v>
      </c>
      <c r="C486" s="6" t="s">
        <v>1060</v>
      </c>
      <c r="D486" s="6" t="s">
        <v>97</v>
      </c>
      <c r="E486" s="6" t="s">
        <v>98</v>
      </c>
      <c r="F486" s="7" t="s">
        <v>77</v>
      </c>
      <c r="G486" s="7"/>
      <c r="H486" s="7" t="s">
        <v>94</v>
      </c>
      <c r="I486" s="7"/>
      <c r="J486" s="7" t="s">
        <v>1067</v>
      </c>
      <c r="K486" s="7" t="s">
        <v>637</v>
      </c>
      <c r="L486" s="7" t="s">
        <v>81</v>
      </c>
      <c r="M486" s="8" t="str">
        <f t="shared" si="14"/>
        <v>U</v>
      </c>
      <c r="N486" s="8" t="str">
        <f t="shared" si="15"/>
        <v>Complete</v>
      </c>
    </row>
    <row r="487" spans="1:14" ht="27" customHeight="1">
      <c r="A487" s="6">
        <v>486</v>
      </c>
      <c r="B487" s="6" t="s">
        <v>1059</v>
      </c>
      <c r="C487" s="6" t="s">
        <v>1060</v>
      </c>
      <c r="D487" s="6" t="s">
        <v>101</v>
      </c>
      <c r="E487" s="6" t="s">
        <v>102</v>
      </c>
      <c r="F487" s="7" t="s">
        <v>77</v>
      </c>
      <c r="G487" s="7"/>
      <c r="H487" s="7" t="s">
        <v>94</v>
      </c>
      <c r="I487" s="7"/>
      <c r="J487" s="7" t="s">
        <v>1069</v>
      </c>
      <c r="K487" s="7" t="s">
        <v>1070</v>
      </c>
      <c r="L487" s="7" t="s">
        <v>81</v>
      </c>
      <c r="M487" s="8" t="str">
        <f t="shared" si="14"/>
        <v>U</v>
      </c>
      <c r="N487" s="8" t="str">
        <f t="shared" si="15"/>
        <v>Complete</v>
      </c>
    </row>
    <row r="488" spans="1:14" ht="40.5" customHeight="1">
      <c r="A488" s="6">
        <v>487</v>
      </c>
      <c r="B488" s="6" t="s">
        <v>1059</v>
      </c>
      <c r="C488" s="6" t="s">
        <v>1060</v>
      </c>
      <c r="D488" s="6" t="s">
        <v>107</v>
      </c>
      <c r="E488" s="6" t="s">
        <v>108</v>
      </c>
      <c r="F488" s="7" t="s">
        <v>77</v>
      </c>
      <c r="G488" s="7"/>
      <c r="H488" s="7" t="s">
        <v>94</v>
      </c>
      <c r="I488" s="7"/>
      <c r="J488" s="7" t="s">
        <v>1071</v>
      </c>
      <c r="K488" s="7" t="s">
        <v>1072</v>
      </c>
      <c r="L488" s="7" t="s">
        <v>81</v>
      </c>
      <c r="M488" s="8" t="str">
        <f t="shared" si="14"/>
        <v>U</v>
      </c>
      <c r="N488" s="8" t="str">
        <f t="shared" si="15"/>
        <v>Complete</v>
      </c>
    </row>
    <row r="489" spans="1:14" ht="27" customHeight="1">
      <c r="A489" s="6">
        <v>488</v>
      </c>
      <c r="B489" s="6" t="s">
        <v>1059</v>
      </c>
      <c r="C489" s="6" t="s">
        <v>1060</v>
      </c>
      <c r="D489" s="6" t="s">
        <v>112</v>
      </c>
      <c r="E489" s="6" t="s">
        <v>113</v>
      </c>
      <c r="F489" s="7" t="s">
        <v>77</v>
      </c>
      <c r="G489" s="7"/>
      <c r="H489" s="7" t="s">
        <v>88</v>
      </c>
      <c r="I489" s="7" t="s">
        <v>119</v>
      </c>
      <c r="J489" s="7" t="s">
        <v>1073</v>
      </c>
      <c r="K489" s="7" t="s">
        <v>1074</v>
      </c>
      <c r="L489" s="7" t="s">
        <v>111</v>
      </c>
      <c r="M489" s="8" t="str">
        <f t="shared" si="14"/>
        <v>R</v>
      </c>
      <c r="N489" s="8" t="str">
        <f t="shared" si="15"/>
        <v>Complete</v>
      </c>
    </row>
    <row r="490" spans="1:14" ht="27" customHeight="1">
      <c r="A490" s="6">
        <v>489</v>
      </c>
      <c r="B490" s="6" t="s">
        <v>1059</v>
      </c>
      <c r="C490" s="6" t="s">
        <v>1060</v>
      </c>
      <c r="D490" s="6" t="s">
        <v>117</v>
      </c>
      <c r="E490" s="6" t="s">
        <v>118</v>
      </c>
      <c r="F490" s="7" t="s">
        <v>77</v>
      </c>
      <c r="G490" s="7"/>
      <c r="H490" s="7" t="s">
        <v>94</v>
      </c>
      <c r="I490" s="7"/>
      <c r="J490" s="7" t="s">
        <v>1075</v>
      </c>
      <c r="K490" s="7" t="s">
        <v>1076</v>
      </c>
      <c r="L490" s="7" t="s">
        <v>81</v>
      </c>
      <c r="M490" s="8" t="str">
        <f t="shared" si="14"/>
        <v>U</v>
      </c>
      <c r="N490" s="8" t="str">
        <f t="shared" si="15"/>
        <v>Complete</v>
      </c>
    </row>
    <row r="491" spans="1:14" ht="40.5" customHeight="1">
      <c r="A491" s="6">
        <v>490</v>
      </c>
      <c r="B491" s="6" t="s">
        <v>1059</v>
      </c>
      <c r="C491" s="6" t="s">
        <v>1060</v>
      </c>
      <c r="D491" s="6" t="s">
        <v>122</v>
      </c>
      <c r="E491" s="6" t="s">
        <v>123</v>
      </c>
      <c r="F491" s="7" t="s">
        <v>103</v>
      </c>
      <c r="G491" s="7" t="s">
        <v>104</v>
      </c>
      <c r="H491" s="7"/>
      <c r="I491" s="7"/>
      <c r="J491" s="7" t="s">
        <v>1077</v>
      </c>
      <c r="K491" s="7" t="s">
        <v>168</v>
      </c>
      <c r="L491" s="7" t="s">
        <v>81</v>
      </c>
      <c r="M491" s="8" t="str">
        <f t="shared" si="14"/>
        <v>NA</v>
      </c>
      <c r="N491" s="8" t="str">
        <f t="shared" si="15"/>
        <v>Complete</v>
      </c>
    </row>
    <row r="492" spans="1:14" ht="27" customHeight="1">
      <c r="A492" s="6">
        <v>491</v>
      </c>
      <c r="B492" s="6" t="s">
        <v>1078</v>
      </c>
      <c r="C492" s="6" t="s">
        <v>1079</v>
      </c>
      <c r="D492" s="6" t="s">
        <v>75</v>
      </c>
      <c r="E492" s="6" t="s">
        <v>76</v>
      </c>
      <c r="F492" s="7" t="s">
        <v>77</v>
      </c>
      <c r="G492" s="7"/>
      <c r="H492" s="7" t="s">
        <v>78</v>
      </c>
      <c r="I492" s="7"/>
      <c r="J492" s="7" t="s">
        <v>1080</v>
      </c>
      <c r="K492" s="7" t="s">
        <v>1081</v>
      </c>
      <c r="L492" s="7" t="s">
        <v>132</v>
      </c>
      <c r="M492" s="8" t="str">
        <f t="shared" si="14"/>
        <v>D</v>
      </c>
      <c r="N492" s="8" t="str">
        <f t="shared" si="15"/>
        <v>Complete</v>
      </c>
    </row>
    <row r="493" spans="1:14" ht="27" customHeight="1">
      <c r="A493" s="6">
        <v>492</v>
      </c>
      <c r="B493" s="6" t="s">
        <v>1078</v>
      </c>
      <c r="C493" s="6" t="s">
        <v>1079</v>
      </c>
      <c r="D493" s="6" t="s">
        <v>82</v>
      </c>
      <c r="E493" s="6" t="s">
        <v>83</v>
      </c>
      <c r="F493" s="7" t="s">
        <v>77</v>
      </c>
      <c r="G493" s="7"/>
      <c r="H493" s="7" t="s">
        <v>78</v>
      </c>
      <c r="I493" s="7"/>
      <c r="J493" s="7" t="s">
        <v>1082</v>
      </c>
      <c r="K493" s="7" t="s">
        <v>1083</v>
      </c>
      <c r="L493" s="7" t="s">
        <v>81</v>
      </c>
      <c r="M493" s="8" t="str">
        <f t="shared" si="14"/>
        <v>D</v>
      </c>
      <c r="N493" s="8" t="str">
        <f t="shared" si="15"/>
        <v>Complete</v>
      </c>
    </row>
    <row r="494" spans="1:14" ht="40.5" customHeight="1">
      <c r="A494" s="6">
        <v>493</v>
      </c>
      <c r="B494" s="6" t="s">
        <v>1078</v>
      </c>
      <c r="C494" s="6" t="s">
        <v>1079</v>
      </c>
      <c r="D494" s="6" t="s">
        <v>86</v>
      </c>
      <c r="E494" s="6" t="s">
        <v>87</v>
      </c>
      <c r="F494" s="7" t="s">
        <v>77</v>
      </c>
      <c r="G494" s="7"/>
      <c r="H494" s="7" t="s">
        <v>94</v>
      </c>
      <c r="I494" s="7"/>
      <c r="J494" s="7" t="s">
        <v>1084</v>
      </c>
      <c r="K494" s="7" t="s">
        <v>1085</v>
      </c>
      <c r="L494" s="7" t="s">
        <v>81</v>
      </c>
      <c r="M494" s="8" t="str">
        <f t="shared" si="14"/>
        <v>U</v>
      </c>
      <c r="N494" s="8" t="str">
        <f t="shared" si="15"/>
        <v>Complete</v>
      </c>
    </row>
    <row r="495" spans="1:14" ht="40.5" customHeight="1">
      <c r="A495" s="6">
        <v>494</v>
      </c>
      <c r="B495" s="6" t="s">
        <v>1078</v>
      </c>
      <c r="C495" s="6" t="s">
        <v>1079</v>
      </c>
      <c r="D495" s="6" t="s">
        <v>92</v>
      </c>
      <c r="E495" s="6" t="s">
        <v>93</v>
      </c>
      <c r="F495" s="7" t="s">
        <v>77</v>
      </c>
      <c r="G495" s="7"/>
      <c r="H495" s="7" t="s">
        <v>94</v>
      </c>
      <c r="I495" s="7"/>
      <c r="J495" s="7" t="s">
        <v>1084</v>
      </c>
      <c r="K495" s="7" t="s">
        <v>1086</v>
      </c>
      <c r="L495" s="7" t="s">
        <v>81</v>
      </c>
      <c r="M495" s="8" t="str">
        <f t="shared" si="14"/>
        <v>U</v>
      </c>
      <c r="N495" s="8" t="str">
        <f t="shared" si="15"/>
        <v>Complete</v>
      </c>
    </row>
    <row r="496" spans="1:14" ht="40.5" customHeight="1">
      <c r="A496" s="6">
        <v>495</v>
      </c>
      <c r="B496" s="6" t="s">
        <v>1078</v>
      </c>
      <c r="C496" s="6" t="s">
        <v>1079</v>
      </c>
      <c r="D496" s="6" t="s">
        <v>97</v>
      </c>
      <c r="E496" s="6" t="s">
        <v>98</v>
      </c>
      <c r="F496" s="7" t="s">
        <v>77</v>
      </c>
      <c r="G496" s="7"/>
      <c r="H496" s="7" t="s">
        <v>94</v>
      </c>
      <c r="I496" s="7"/>
      <c r="J496" s="7" t="s">
        <v>1087</v>
      </c>
      <c r="K496" s="7" t="s">
        <v>1088</v>
      </c>
      <c r="L496" s="7" t="s">
        <v>81</v>
      </c>
      <c r="M496" s="8" t="str">
        <f t="shared" si="14"/>
        <v>U</v>
      </c>
      <c r="N496" s="8" t="str">
        <f t="shared" si="15"/>
        <v>Complete</v>
      </c>
    </row>
    <row r="497" spans="1:14" ht="27" customHeight="1">
      <c r="A497" s="6">
        <v>496</v>
      </c>
      <c r="B497" s="6" t="s">
        <v>1078</v>
      </c>
      <c r="C497" s="6" t="s">
        <v>1079</v>
      </c>
      <c r="D497" s="6" t="s">
        <v>101</v>
      </c>
      <c r="E497" s="6" t="s">
        <v>102</v>
      </c>
      <c r="F497" s="7" t="s">
        <v>103</v>
      </c>
      <c r="G497" s="7" t="s">
        <v>104</v>
      </c>
      <c r="H497" s="7"/>
      <c r="I497" s="7"/>
      <c r="J497" s="7" t="s">
        <v>1089</v>
      </c>
      <c r="K497" s="7" t="s">
        <v>1090</v>
      </c>
      <c r="L497" s="7" t="s">
        <v>81</v>
      </c>
      <c r="M497" s="8" t="str">
        <f t="shared" si="14"/>
        <v>NA</v>
      </c>
      <c r="N497" s="8" t="str">
        <f t="shared" si="15"/>
        <v>Complete</v>
      </c>
    </row>
    <row r="498" spans="1:14" ht="27" customHeight="1">
      <c r="A498" s="6">
        <v>497</v>
      </c>
      <c r="B498" s="6" t="s">
        <v>1078</v>
      </c>
      <c r="C498" s="6" t="s">
        <v>1079</v>
      </c>
      <c r="D498" s="6" t="s">
        <v>107</v>
      </c>
      <c r="E498" s="6" t="s">
        <v>108</v>
      </c>
      <c r="F498" s="7" t="s">
        <v>77</v>
      </c>
      <c r="G498" s="7"/>
      <c r="H498" s="7" t="s">
        <v>94</v>
      </c>
      <c r="I498" s="7"/>
      <c r="J498" s="7" t="s">
        <v>1091</v>
      </c>
      <c r="K498" s="7" t="s">
        <v>1092</v>
      </c>
      <c r="L498" s="7" t="s">
        <v>111</v>
      </c>
      <c r="M498" s="8" t="str">
        <f t="shared" si="14"/>
        <v>U</v>
      </c>
      <c r="N498" s="8" t="str">
        <f t="shared" si="15"/>
        <v>Complete</v>
      </c>
    </row>
    <row r="499" spans="1:14" ht="27" customHeight="1">
      <c r="A499" s="6">
        <v>498</v>
      </c>
      <c r="B499" s="6" t="s">
        <v>1078</v>
      </c>
      <c r="C499" s="6" t="s">
        <v>1079</v>
      </c>
      <c r="D499" s="6" t="s">
        <v>112</v>
      </c>
      <c r="E499" s="6" t="s">
        <v>113</v>
      </c>
      <c r="F499" s="7" t="s">
        <v>77</v>
      </c>
      <c r="G499" s="7"/>
      <c r="H499" s="7" t="s">
        <v>88</v>
      </c>
      <c r="I499" s="7" t="s">
        <v>89</v>
      </c>
      <c r="J499" s="7" t="s">
        <v>1093</v>
      </c>
      <c r="K499" s="7" t="s">
        <v>1094</v>
      </c>
      <c r="L499" s="7" t="s">
        <v>81</v>
      </c>
      <c r="M499" s="8" t="str">
        <f t="shared" si="14"/>
        <v>R</v>
      </c>
      <c r="N499" s="8" t="str">
        <f t="shared" si="15"/>
        <v>Complete</v>
      </c>
    </row>
    <row r="500" spans="1:14" ht="27" customHeight="1">
      <c r="A500" s="6">
        <v>499</v>
      </c>
      <c r="B500" s="6" t="s">
        <v>1078</v>
      </c>
      <c r="C500" s="6" t="s">
        <v>1079</v>
      </c>
      <c r="D500" s="6" t="s">
        <v>117</v>
      </c>
      <c r="E500" s="6" t="s">
        <v>118</v>
      </c>
      <c r="F500" s="7" t="s">
        <v>77</v>
      </c>
      <c r="G500" s="7"/>
      <c r="H500" s="7" t="s">
        <v>94</v>
      </c>
      <c r="I500" s="7"/>
      <c r="J500" s="7" t="s">
        <v>1095</v>
      </c>
      <c r="K500" s="7" t="s">
        <v>1096</v>
      </c>
      <c r="L500" s="7" t="s">
        <v>111</v>
      </c>
      <c r="M500" s="8" t="str">
        <f t="shared" si="14"/>
        <v>U</v>
      </c>
      <c r="N500" s="8" t="str">
        <f t="shared" si="15"/>
        <v>Complete</v>
      </c>
    </row>
    <row r="501" spans="1:14" ht="40.5" customHeight="1">
      <c r="A501" s="6">
        <v>500</v>
      </c>
      <c r="B501" s="6" t="s">
        <v>1078</v>
      </c>
      <c r="C501" s="6" t="s">
        <v>1079</v>
      </c>
      <c r="D501" s="6" t="s">
        <v>122</v>
      </c>
      <c r="E501" s="6" t="s">
        <v>123</v>
      </c>
      <c r="F501" s="7" t="s">
        <v>103</v>
      </c>
      <c r="G501" s="7" t="s">
        <v>104</v>
      </c>
      <c r="H501" s="7"/>
      <c r="I501" s="7"/>
      <c r="J501" s="7" t="s">
        <v>1097</v>
      </c>
      <c r="K501" s="7" t="s">
        <v>168</v>
      </c>
      <c r="L501" s="7" t="s">
        <v>81</v>
      </c>
      <c r="M501" s="8" t="str">
        <f t="shared" si="14"/>
        <v>NA</v>
      </c>
      <c r="N501" s="8" t="str">
        <f t="shared" si="15"/>
        <v>Complete</v>
      </c>
    </row>
    <row r="502" spans="1:14" ht="27" customHeight="1">
      <c r="A502" s="6">
        <v>501</v>
      </c>
      <c r="B502" s="6" t="s">
        <v>1098</v>
      </c>
      <c r="C502" s="6" t="s">
        <v>1099</v>
      </c>
      <c r="D502" s="6" t="s">
        <v>75</v>
      </c>
      <c r="E502" s="6" t="s">
        <v>76</v>
      </c>
      <c r="F502" s="7" t="s">
        <v>77</v>
      </c>
      <c r="G502" s="7"/>
      <c r="H502" s="7" t="s">
        <v>78</v>
      </c>
      <c r="I502" s="7"/>
      <c r="J502" s="7" t="s">
        <v>1100</v>
      </c>
      <c r="K502" s="7" t="s">
        <v>1101</v>
      </c>
      <c r="L502" s="7" t="s">
        <v>132</v>
      </c>
      <c r="M502" s="8" t="str">
        <f t="shared" si="14"/>
        <v>D</v>
      </c>
      <c r="N502" s="8" t="str">
        <f t="shared" si="15"/>
        <v>Complete</v>
      </c>
    </row>
    <row r="503" spans="1:14" ht="27" customHeight="1">
      <c r="A503" s="6">
        <v>502</v>
      </c>
      <c r="B503" s="6" t="s">
        <v>1098</v>
      </c>
      <c r="C503" s="6" t="s">
        <v>1099</v>
      </c>
      <c r="D503" s="6" t="s">
        <v>82</v>
      </c>
      <c r="E503" s="6" t="s">
        <v>83</v>
      </c>
      <c r="F503" s="7" t="s">
        <v>77</v>
      </c>
      <c r="G503" s="7"/>
      <c r="H503" s="7" t="s">
        <v>78</v>
      </c>
      <c r="I503" s="7"/>
      <c r="J503" s="7" t="s">
        <v>1102</v>
      </c>
      <c r="K503" s="7" t="s">
        <v>1103</v>
      </c>
      <c r="L503" s="7" t="s">
        <v>132</v>
      </c>
      <c r="M503" s="8" t="str">
        <f t="shared" si="14"/>
        <v>D</v>
      </c>
      <c r="N503" s="8" t="str">
        <f t="shared" si="15"/>
        <v>Complete</v>
      </c>
    </row>
    <row r="504" spans="1:14" ht="27" customHeight="1">
      <c r="A504" s="6">
        <v>503</v>
      </c>
      <c r="B504" s="6" t="s">
        <v>1098</v>
      </c>
      <c r="C504" s="6" t="s">
        <v>1099</v>
      </c>
      <c r="D504" s="6" t="s">
        <v>86</v>
      </c>
      <c r="E504" s="6" t="s">
        <v>87</v>
      </c>
      <c r="F504" s="7" t="s">
        <v>77</v>
      </c>
      <c r="G504" s="7"/>
      <c r="H504" s="7" t="s">
        <v>94</v>
      </c>
      <c r="I504" s="7"/>
      <c r="J504" s="7" t="s">
        <v>1104</v>
      </c>
      <c r="K504" s="7" t="s">
        <v>1105</v>
      </c>
      <c r="L504" s="7" t="s">
        <v>81</v>
      </c>
      <c r="M504" s="8" t="str">
        <f t="shared" si="14"/>
        <v>U</v>
      </c>
      <c r="N504" s="8" t="str">
        <f t="shared" si="15"/>
        <v>Complete</v>
      </c>
    </row>
    <row r="505" spans="1:14" ht="27" customHeight="1">
      <c r="A505" s="6">
        <v>504</v>
      </c>
      <c r="B505" s="6" t="s">
        <v>1098</v>
      </c>
      <c r="C505" s="6" t="s">
        <v>1099</v>
      </c>
      <c r="D505" s="6" t="s">
        <v>92</v>
      </c>
      <c r="E505" s="6" t="s">
        <v>93</v>
      </c>
      <c r="F505" s="7" t="s">
        <v>77</v>
      </c>
      <c r="G505" s="7"/>
      <c r="H505" s="7" t="s">
        <v>88</v>
      </c>
      <c r="I505" s="7" t="s">
        <v>119</v>
      </c>
      <c r="J505" s="7" t="s">
        <v>1106</v>
      </c>
      <c r="K505" s="7" t="s">
        <v>1107</v>
      </c>
      <c r="L505" s="7" t="s">
        <v>81</v>
      </c>
      <c r="M505" s="8" t="str">
        <f t="shared" si="14"/>
        <v>R</v>
      </c>
      <c r="N505" s="8" t="str">
        <f t="shared" si="15"/>
        <v>Complete</v>
      </c>
    </row>
    <row r="506" spans="1:14" ht="27" customHeight="1">
      <c r="A506" s="6">
        <v>505</v>
      </c>
      <c r="B506" s="6" t="s">
        <v>1098</v>
      </c>
      <c r="C506" s="6" t="s">
        <v>1099</v>
      </c>
      <c r="D506" s="6" t="s">
        <v>97</v>
      </c>
      <c r="E506" s="6" t="s">
        <v>98</v>
      </c>
      <c r="F506" s="7" t="s">
        <v>77</v>
      </c>
      <c r="G506" s="7"/>
      <c r="H506" s="7" t="s">
        <v>88</v>
      </c>
      <c r="I506" s="7" t="s">
        <v>119</v>
      </c>
      <c r="J506" s="7" t="s">
        <v>1102</v>
      </c>
      <c r="K506" s="7" t="s">
        <v>1108</v>
      </c>
      <c r="L506" s="7" t="s">
        <v>111</v>
      </c>
      <c r="M506" s="8" t="str">
        <f t="shared" si="14"/>
        <v>R</v>
      </c>
      <c r="N506" s="8" t="str">
        <f t="shared" si="15"/>
        <v>Complete</v>
      </c>
    </row>
    <row r="507" spans="1:14" ht="40.5" customHeight="1">
      <c r="A507" s="6">
        <v>506</v>
      </c>
      <c r="B507" s="6" t="s">
        <v>1098</v>
      </c>
      <c r="C507" s="6" t="s">
        <v>1099</v>
      </c>
      <c r="D507" s="6" t="s">
        <v>101</v>
      </c>
      <c r="E507" s="6" t="s">
        <v>102</v>
      </c>
      <c r="F507" s="7" t="s">
        <v>103</v>
      </c>
      <c r="G507" s="7" t="s">
        <v>104</v>
      </c>
      <c r="H507" s="7"/>
      <c r="I507" s="7"/>
      <c r="J507" s="7" t="s">
        <v>1109</v>
      </c>
      <c r="K507" s="7" t="s">
        <v>1110</v>
      </c>
      <c r="L507" s="7" t="s">
        <v>81</v>
      </c>
      <c r="M507" s="8" t="str">
        <f t="shared" si="14"/>
        <v>NA</v>
      </c>
      <c r="N507" s="8" t="str">
        <f t="shared" si="15"/>
        <v>Complete</v>
      </c>
    </row>
    <row r="508" spans="1:14" ht="40.5" customHeight="1">
      <c r="A508" s="6">
        <v>507</v>
      </c>
      <c r="B508" s="6" t="s">
        <v>1098</v>
      </c>
      <c r="C508" s="6" t="s">
        <v>1099</v>
      </c>
      <c r="D508" s="6" t="s">
        <v>107</v>
      </c>
      <c r="E508" s="6" t="s">
        <v>108</v>
      </c>
      <c r="F508" s="7" t="s">
        <v>77</v>
      </c>
      <c r="G508" s="7"/>
      <c r="H508" s="7" t="s">
        <v>94</v>
      </c>
      <c r="I508" s="7"/>
      <c r="J508" s="7" t="s">
        <v>1111</v>
      </c>
      <c r="K508" s="7" t="s">
        <v>1112</v>
      </c>
      <c r="L508" s="7" t="s">
        <v>111</v>
      </c>
      <c r="M508" s="8" t="str">
        <f t="shared" si="14"/>
        <v>U</v>
      </c>
      <c r="N508" s="8" t="str">
        <f t="shared" si="15"/>
        <v>Complete</v>
      </c>
    </row>
    <row r="509" spans="1:14" ht="27" customHeight="1">
      <c r="A509" s="6">
        <v>508</v>
      </c>
      <c r="B509" s="6" t="s">
        <v>1098</v>
      </c>
      <c r="C509" s="6" t="s">
        <v>1099</v>
      </c>
      <c r="D509" s="6" t="s">
        <v>112</v>
      </c>
      <c r="E509" s="6" t="s">
        <v>113</v>
      </c>
      <c r="F509" s="7" t="s">
        <v>77</v>
      </c>
      <c r="G509" s="7"/>
      <c r="H509" s="7" t="s">
        <v>88</v>
      </c>
      <c r="I509" s="7" t="s">
        <v>89</v>
      </c>
      <c r="J509" s="7" t="s">
        <v>1111</v>
      </c>
      <c r="K509" s="7" t="s">
        <v>1113</v>
      </c>
      <c r="L509" s="7" t="s">
        <v>81</v>
      </c>
      <c r="M509" s="8" t="str">
        <f t="shared" si="14"/>
        <v>R</v>
      </c>
      <c r="N509" s="8" t="str">
        <f t="shared" si="15"/>
        <v>Complete</v>
      </c>
    </row>
    <row r="510" spans="1:14" ht="27" customHeight="1">
      <c r="A510" s="6">
        <v>509</v>
      </c>
      <c r="B510" s="6" t="s">
        <v>1098</v>
      </c>
      <c r="C510" s="6" t="s">
        <v>1099</v>
      </c>
      <c r="D510" s="6" t="s">
        <v>117</v>
      </c>
      <c r="E510" s="6" t="s">
        <v>118</v>
      </c>
      <c r="F510" s="7" t="s">
        <v>77</v>
      </c>
      <c r="G510" s="7"/>
      <c r="H510" s="7" t="s">
        <v>94</v>
      </c>
      <c r="I510" s="7"/>
      <c r="J510" s="7" t="s">
        <v>1114</v>
      </c>
      <c r="K510" s="7" t="s">
        <v>1115</v>
      </c>
      <c r="L510" s="7" t="s">
        <v>111</v>
      </c>
      <c r="M510" s="8" t="str">
        <f t="shared" si="14"/>
        <v>U</v>
      </c>
      <c r="N510" s="8" t="str">
        <f t="shared" si="15"/>
        <v>Complete</v>
      </c>
    </row>
    <row r="511" spans="1:14" ht="40.5" customHeight="1">
      <c r="A511" s="6">
        <v>510</v>
      </c>
      <c r="B511" s="6" t="s">
        <v>1098</v>
      </c>
      <c r="C511" s="6" t="s">
        <v>1099</v>
      </c>
      <c r="D511" s="6" t="s">
        <v>122</v>
      </c>
      <c r="E511" s="6" t="s">
        <v>123</v>
      </c>
      <c r="F511" s="7" t="s">
        <v>103</v>
      </c>
      <c r="G511" s="7" t="s">
        <v>104</v>
      </c>
      <c r="H511" s="7"/>
      <c r="I511" s="7"/>
      <c r="J511" s="7" t="s">
        <v>1116</v>
      </c>
      <c r="K511" s="7" t="s">
        <v>1117</v>
      </c>
      <c r="L511" s="7" t="s">
        <v>81</v>
      </c>
      <c r="M511" s="8" t="str">
        <f t="shared" si="14"/>
        <v>NA</v>
      </c>
      <c r="N511" s="8" t="str">
        <f t="shared" si="15"/>
        <v>Complete</v>
      </c>
    </row>
    <row r="512" spans="1:14" ht="27" customHeight="1">
      <c r="A512" s="6">
        <v>511</v>
      </c>
      <c r="B512" s="6" t="s">
        <v>1118</v>
      </c>
      <c r="C512" s="6" t="s">
        <v>1119</v>
      </c>
      <c r="D512" s="6" t="s">
        <v>75</v>
      </c>
      <c r="E512" s="6" t="s">
        <v>76</v>
      </c>
      <c r="F512" s="7" t="s">
        <v>77</v>
      </c>
      <c r="G512" s="7"/>
      <c r="H512" s="7" t="s">
        <v>78</v>
      </c>
      <c r="I512" s="7"/>
      <c r="J512" s="7" t="s">
        <v>1120</v>
      </c>
      <c r="K512" s="7" t="s">
        <v>1121</v>
      </c>
      <c r="L512" s="7" t="s">
        <v>81</v>
      </c>
      <c r="M512" s="8" t="str">
        <f t="shared" si="14"/>
        <v>D</v>
      </c>
      <c r="N512" s="8" t="str">
        <f t="shared" si="15"/>
        <v>Complete</v>
      </c>
    </row>
    <row r="513" spans="1:14" ht="27" customHeight="1">
      <c r="A513" s="6">
        <v>512</v>
      </c>
      <c r="B513" s="6" t="s">
        <v>1118</v>
      </c>
      <c r="C513" s="6" t="s">
        <v>1119</v>
      </c>
      <c r="D513" s="6" t="s">
        <v>82</v>
      </c>
      <c r="E513" s="6" t="s">
        <v>83</v>
      </c>
      <c r="F513" s="7" t="s">
        <v>77</v>
      </c>
      <c r="G513" s="7"/>
      <c r="H513" s="7" t="s">
        <v>88</v>
      </c>
      <c r="I513" s="7" t="s">
        <v>89</v>
      </c>
      <c r="J513" s="7" t="s">
        <v>1122</v>
      </c>
      <c r="K513" s="7" t="s">
        <v>1123</v>
      </c>
      <c r="L513" s="7" t="s">
        <v>81</v>
      </c>
      <c r="M513" s="8" t="str">
        <f t="shared" si="14"/>
        <v>R</v>
      </c>
      <c r="N513" s="8" t="str">
        <f t="shared" si="15"/>
        <v>Complete</v>
      </c>
    </row>
    <row r="514" spans="1:14" ht="40.5" customHeight="1">
      <c r="A514" s="6">
        <v>513</v>
      </c>
      <c r="B514" s="6" t="s">
        <v>1118</v>
      </c>
      <c r="C514" s="6" t="s">
        <v>1119</v>
      </c>
      <c r="D514" s="6" t="s">
        <v>86</v>
      </c>
      <c r="E514" s="6" t="s">
        <v>87</v>
      </c>
      <c r="F514" s="7" t="s">
        <v>77</v>
      </c>
      <c r="G514" s="7"/>
      <c r="H514" s="7" t="s">
        <v>94</v>
      </c>
      <c r="I514" s="7"/>
      <c r="J514" s="7" t="s">
        <v>1124</v>
      </c>
      <c r="K514" s="7" t="s">
        <v>1125</v>
      </c>
      <c r="L514" s="7" t="s">
        <v>81</v>
      </c>
      <c r="M514" s="8" t="str">
        <f t="shared" ref="M514:M577" si="16">IF(F514="Not applicable","NA",IF(F514="Applicable",IF(H514="","",H514),""))</f>
        <v>U</v>
      </c>
      <c r="N514" s="8" t="str">
        <f t="shared" ref="N514:N577" si="17">IF(F514="","Applicability missing",IF(AND(F514="Applicable",H514=""),"Record status missing",IF(AND(F514="Applicable",G514&lt;&gt;""),"Boundary strength must be blank for applicable rows",IF(AND(F514="Not applicable",G514=""),"Boundary strength missing",IF(AND(F514="Not applicable",H514&lt;&gt;""),"Record status must be blank for not-applicable rows",IF(AND(H514="R",I514=""),"Recovery stability missing",IF(J514="","Evidence location missing","Complete")))))))</f>
        <v>Complete</v>
      </c>
    </row>
    <row r="515" spans="1:14" ht="27" customHeight="1">
      <c r="A515" s="6">
        <v>514</v>
      </c>
      <c r="B515" s="6" t="s">
        <v>1118</v>
      </c>
      <c r="C515" s="6" t="s">
        <v>1119</v>
      </c>
      <c r="D515" s="6" t="s">
        <v>92</v>
      </c>
      <c r="E515" s="6" t="s">
        <v>93</v>
      </c>
      <c r="F515" s="7" t="s">
        <v>77</v>
      </c>
      <c r="G515" s="7"/>
      <c r="H515" s="7" t="s">
        <v>94</v>
      </c>
      <c r="I515" s="7"/>
      <c r="J515" s="7" t="s">
        <v>1126</v>
      </c>
      <c r="K515" s="7" t="s">
        <v>1127</v>
      </c>
      <c r="L515" s="7" t="s">
        <v>81</v>
      </c>
      <c r="M515" s="8" t="str">
        <f t="shared" si="16"/>
        <v>U</v>
      </c>
      <c r="N515" s="8" t="str">
        <f t="shared" si="17"/>
        <v>Complete</v>
      </c>
    </row>
    <row r="516" spans="1:14" ht="27" customHeight="1">
      <c r="A516" s="6">
        <v>515</v>
      </c>
      <c r="B516" s="6" t="s">
        <v>1118</v>
      </c>
      <c r="C516" s="6" t="s">
        <v>1119</v>
      </c>
      <c r="D516" s="6" t="s">
        <v>97</v>
      </c>
      <c r="E516" s="6" t="s">
        <v>98</v>
      </c>
      <c r="F516" s="7" t="s">
        <v>77</v>
      </c>
      <c r="G516" s="7"/>
      <c r="H516" s="7" t="s">
        <v>94</v>
      </c>
      <c r="I516" s="7"/>
      <c r="J516" s="7" t="s">
        <v>1128</v>
      </c>
      <c r="K516" s="7" t="s">
        <v>1129</v>
      </c>
      <c r="L516" s="7" t="s">
        <v>81</v>
      </c>
      <c r="M516" s="8" t="str">
        <f t="shared" si="16"/>
        <v>U</v>
      </c>
      <c r="N516" s="8" t="str">
        <f t="shared" si="17"/>
        <v>Complete</v>
      </c>
    </row>
    <row r="517" spans="1:14" ht="40.5" customHeight="1">
      <c r="A517" s="6">
        <v>516</v>
      </c>
      <c r="B517" s="6" t="s">
        <v>1118</v>
      </c>
      <c r="C517" s="6" t="s">
        <v>1119</v>
      </c>
      <c r="D517" s="6" t="s">
        <v>101</v>
      </c>
      <c r="E517" s="6" t="s">
        <v>102</v>
      </c>
      <c r="F517" s="7" t="s">
        <v>103</v>
      </c>
      <c r="G517" s="7" t="s">
        <v>104</v>
      </c>
      <c r="H517" s="7"/>
      <c r="I517" s="7"/>
      <c r="J517" s="7" t="s">
        <v>1130</v>
      </c>
      <c r="K517" s="7" t="s">
        <v>1110</v>
      </c>
      <c r="L517" s="7" t="s">
        <v>81</v>
      </c>
      <c r="M517" s="8" t="str">
        <f t="shared" si="16"/>
        <v>NA</v>
      </c>
      <c r="N517" s="8" t="str">
        <f t="shared" si="17"/>
        <v>Complete</v>
      </c>
    </row>
    <row r="518" spans="1:14" ht="27" customHeight="1">
      <c r="A518" s="6">
        <v>517</v>
      </c>
      <c r="B518" s="6" t="s">
        <v>1118</v>
      </c>
      <c r="C518" s="6" t="s">
        <v>1119</v>
      </c>
      <c r="D518" s="6" t="s">
        <v>107</v>
      </c>
      <c r="E518" s="6" t="s">
        <v>108</v>
      </c>
      <c r="F518" s="7" t="s">
        <v>77</v>
      </c>
      <c r="G518" s="7"/>
      <c r="H518" s="7" t="s">
        <v>94</v>
      </c>
      <c r="I518" s="7"/>
      <c r="J518" s="7" t="s">
        <v>1131</v>
      </c>
      <c r="K518" s="7" t="s">
        <v>1132</v>
      </c>
      <c r="L518" s="7" t="s">
        <v>81</v>
      </c>
      <c r="M518" s="8" t="str">
        <f t="shared" si="16"/>
        <v>U</v>
      </c>
      <c r="N518" s="8" t="str">
        <f t="shared" si="17"/>
        <v>Complete</v>
      </c>
    </row>
    <row r="519" spans="1:14" ht="27" customHeight="1">
      <c r="A519" s="6">
        <v>518</v>
      </c>
      <c r="B519" s="6" t="s">
        <v>1118</v>
      </c>
      <c r="C519" s="6" t="s">
        <v>1119</v>
      </c>
      <c r="D519" s="6" t="s">
        <v>112</v>
      </c>
      <c r="E519" s="6" t="s">
        <v>113</v>
      </c>
      <c r="F519" s="7" t="s">
        <v>77</v>
      </c>
      <c r="G519" s="7"/>
      <c r="H519" s="7" t="s">
        <v>78</v>
      </c>
      <c r="I519" s="7"/>
      <c r="J519" s="7" t="s">
        <v>1133</v>
      </c>
      <c r="K519" s="7" t="s">
        <v>1134</v>
      </c>
      <c r="L519" s="7" t="s">
        <v>111</v>
      </c>
      <c r="M519" s="8" t="str">
        <f t="shared" si="16"/>
        <v>D</v>
      </c>
      <c r="N519" s="8" t="str">
        <f t="shared" si="17"/>
        <v>Complete</v>
      </c>
    </row>
    <row r="520" spans="1:14" ht="40.5" customHeight="1">
      <c r="A520" s="6">
        <v>519</v>
      </c>
      <c r="B520" s="6" t="s">
        <v>1118</v>
      </c>
      <c r="C520" s="6" t="s">
        <v>1119</v>
      </c>
      <c r="D520" s="6" t="s">
        <v>117</v>
      </c>
      <c r="E520" s="6" t="s">
        <v>118</v>
      </c>
      <c r="F520" s="7" t="s">
        <v>77</v>
      </c>
      <c r="G520" s="7"/>
      <c r="H520" s="7" t="s">
        <v>94</v>
      </c>
      <c r="I520" s="7"/>
      <c r="J520" s="7" t="s">
        <v>1124</v>
      </c>
      <c r="K520" s="7" t="s">
        <v>1135</v>
      </c>
      <c r="L520" s="7" t="s">
        <v>81</v>
      </c>
      <c r="M520" s="8" t="str">
        <f t="shared" si="16"/>
        <v>U</v>
      </c>
      <c r="N520" s="8" t="str">
        <f t="shared" si="17"/>
        <v>Complete</v>
      </c>
    </row>
    <row r="521" spans="1:14" ht="27" customHeight="1">
      <c r="A521" s="6">
        <v>520</v>
      </c>
      <c r="B521" s="6" t="s">
        <v>1118</v>
      </c>
      <c r="C521" s="6" t="s">
        <v>1119</v>
      </c>
      <c r="D521" s="6" t="s">
        <v>122</v>
      </c>
      <c r="E521" s="6" t="s">
        <v>123</v>
      </c>
      <c r="F521" s="7" t="s">
        <v>103</v>
      </c>
      <c r="G521" s="7" t="s">
        <v>104</v>
      </c>
      <c r="H521" s="7"/>
      <c r="I521" s="7"/>
      <c r="J521" s="7" t="s">
        <v>1136</v>
      </c>
      <c r="K521" s="7" t="s">
        <v>1137</v>
      </c>
      <c r="L521" s="7" t="s">
        <v>81</v>
      </c>
      <c r="M521" s="8" t="str">
        <f t="shared" si="16"/>
        <v>NA</v>
      </c>
      <c r="N521" s="8" t="str">
        <f t="shared" si="17"/>
        <v>Complete</v>
      </c>
    </row>
    <row r="522" spans="1:14" ht="27" customHeight="1">
      <c r="A522" s="6">
        <v>521</v>
      </c>
      <c r="B522" s="6" t="s">
        <v>1138</v>
      </c>
      <c r="C522" s="6" t="s">
        <v>1139</v>
      </c>
      <c r="D522" s="6" t="s">
        <v>75</v>
      </c>
      <c r="E522" s="6" t="s">
        <v>76</v>
      </c>
      <c r="F522" s="7" t="s">
        <v>77</v>
      </c>
      <c r="G522" s="7"/>
      <c r="H522" s="7" t="s">
        <v>78</v>
      </c>
      <c r="I522" s="7"/>
      <c r="J522" s="7" t="s">
        <v>1140</v>
      </c>
      <c r="K522" s="7" t="s">
        <v>1141</v>
      </c>
      <c r="L522" s="7" t="s">
        <v>81</v>
      </c>
      <c r="M522" s="8" t="str">
        <f t="shared" si="16"/>
        <v>D</v>
      </c>
      <c r="N522" s="8" t="str">
        <f t="shared" si="17"/>
        <v>Complete</v>
      </c>
    </row>
    <row r="523" spans="1:14" ht="27" customHeight="1">
      <c r="A523" s="6">
        <v>522</v>
      </c>
      <c r="B523" s="6" t="s">
        <v>1138</v>
      </c>
      <c r="C523" s="6" t="s">
        <v>1139</v>
      </c>
      <c r="D523" s="6" t="s">
        <v>82</v>
      </c>
      <c r="E523" s="6" t="s">
        <v>83</v>
      </c>
      <c r="F523" s="7" t="s">
        <v>77</v>
      </c>
      <c r="G523" s="7"/>
      <c r="H523" s="7" t="s">
        <v>78</v>
      </c>
      <c r="I523" s="7"/>
      <c r="J523" s="7" t="s">
        <v>1142</v>
      </c>
      <c r="K523" s="7" t="s">
        <v>1143</v>
      </c>
      <c r="L523" s="7" t="s">
        <v>81</v>
      </c>
      <c r="M523" s="8" t="str">
        <f t="shared" si="16"/>
        <v>D</v>
      </c>
      <c r="N523" s="8" t="str">
        <f t="shared" si="17"/>
        <v>Complete</v>
      </c>
    </row>
    <row r="524" spans="1:14" ht="27" customHeight="1">
      <c r="A524" s="6">
        <v>523</v>
      </c>
      <c r="B524" s="6" t="s">
        <v>1138</v>
      </c>
      <c r="C524" s="6" t="s">
        <v>1139</v>
      </c>
      <c r="D524" s="6" t="s">
        <v>86</v>
      </c>
      <c r="E524" s="6" t="s">
        <v>87</v>
      </c>
      <c r="F524" s="7" t="s">
        <v>77</v>
      </c>
      <c r="G524" s="7"/>
      <c r="H524" s="7" t="s">
        <v>78</v>
      </c>
      <c r="I524" s="7"/>
      <c r="J524" s="7" t="s">
        <v>1144</v>
      </c>
      <c r="K524" s="7" t="s">
        <v>1145</v>
      </c>
      <c r="L524" s="7" t="s">
        <v>81</v>
      </c>
      <c r="M524" s="8" t="str">
        <f t="shared" si="16"/>
        <v>D</v>
      </c>
      <c r="N524" s="8" t="str">
        <f t="shared" si="17"/>
        <v>Complete</v>
      </c>
    </row>
    <row r="525" spans="1:14" ht="27" customHeight="1">
      <c r="A525" s="6">
        <v>524</v>
      </c>
      <c r="B525" s="6" t="s">
        <v>1138</v>
      </c>
      <c r="C525" s="6" t="s">
        <v>1139</v>
      </c>
      <c r="D525" s="6" t="s">
        <v>92</v>
      </c>
      <c r="E525" s="6" t="s">
        <v>93</v>
      </c>
      <c r="F525" s="7" t="s">
        <v>77</v>
      </c>
      <c r="G525" s="7"/>
      <c r="H525" s="7" t="s">
        <v>88</v>
      </c>
      <c r="I525" s="7" t="s">
        <v>89</v>
      </c>
      <c r="J525" s="7" t="s">
        <v>1146</v>
      </c>
      <c r="K525" s="7" t="s">
        <v>1147</v>
      </c>
      <c r="L525" s="7" t="s">
        <v>111</v>
      </c>
      <c r="M525" s="8" t="str">
        <f t="shared" si="16"/>
        <v>R</v>
      </c>
      <c r="N525" s="8" t="str">
        <f t="shared" si="17"/>
        <v>Complete</v>
      </c>
    </row>
    <row r="526" spans="1:14" ht="40.5" customHeight="1">
      <c r="A526" s="6">
        <v>525</v>
      </c>
      <c r="B526" s="6" t="s">
        <v>1138</v>
      </c>
      <c r="C526" s="6" t="s">
        <v>1139</v>
      </c>
      <c r="D526" s="6" t="s">
        <v>97</v>
      </c>
      <c r="E526" s="6" t="s">
        <v>98</v>
      </c>
      <c r="F526" s="7" t="s">
        <v>77</v>
      </c>
      <c r="G526" s="7"/>
      <c r="H526" s="7" t="s">
        <v>94</v>
      </c>
      <c r="I526" s="7"/>
      <c r="J526" s="7" t="s">
        <v>1148</v>
      </c>
      <c r="K526" s="7" t="s">
        <v>1149</v>
      </c>
      <c r="L526" s="7" t="s">
        <v>81</v>
      </c>
      <c r="M526" s="8" t="str">
        <f t="shared" si="16"/>
        <v>U</v>
      </c>
      <c r="N526" s="8" t="str">
        <f t="shared" si="17"/>
        <v>Complete</v>
      </c>
    </row>
    <row r="527" spans="1:14" ht="27" customHeight="1">
      <c r="A527" s="6">
        <v>526</v>
      </c>
      <c r="B527" s="6" t="s">
        <v>1138</v>
      </c>
      <c r="C527" s="6" t="s">
        <v>1139</v>
      </c>
      <c r="D527" s="6" t="s">
        <v>101</v>
      </c>
      <c r="E527" s="6" t="s">
        <v>102</v>
      </c>
      <c r="F527" s="7" t="s">
        <v>77</v>
      </c>
      <c r="G527" s="7"/>
      <c r="H527" s="7" t="s">
        <v>94</v>
      </c>
      <c r="I527" s="7"/>
      <c r="J527" s="7" t="s">
        <v>1150</v>
      </c>
      <c r="K527" s="7" t="s">
        <v>1151</v>
      </c>
      <c r="L527" s="7" t="s">
        <v>81</v>
      </c>
      <c r="M527" s="8" t="str">
        <f t="shared" si="16"/>
        <v>U</v>
      </c>
      <c r="N527" s="8" t="str">
        <f t="shared" si="17"/>
        <v>Complete</v>
      </c>
    </row>
    <row r="528" spans="1:14" ht="27" customHeight="1">
      <c r="A528" s="6">
        <v>527</v>
      </c>
      <c r="B528" s="6" t="s">
        <v>1138</v>
      </c>
      <c r="C528" s="6" t="s">
        <v>1139</v>
      </c>
      <c r="D528" s="6" t="s">
        <v>107</v>
      </c>
      <c r="E528" s="6" t="s">
        <v>108</v>
      </c>
      <c r="F528" s="7" t="s">
        <v>77</v>
      </c>
      <c r="G528" s="7"/>
      <c r="H528" s="7" t="s">
        <v>78</v>
      </c>
      <c r="I528" s="7"/>
      <c r="J528" s="7" t="s">
        <v>1152</v>
      </c>
      <c r="K528" s="7" t="s">
        <v>1153</v>
      </c>
      <c r="L528" s="7" t="s">
        <v>111</v>
      </c>
      <c r="M528" s="8" t="str">
        <f t="shared" si="16"/>
        <v>D</v>
      </c>
      <c r="N528" s="8" t="str">
        <f t="shared" si="17"/>
        <v>Complete</v>
      </c>
    </row>
    <row r="529" spans="1:14" ht="40.5" customHeight="1">
      <c r="A529" s="6">
        <v>528</v>
      </c>
      <c r="B529" s="6" t="s">
        <v>1138</v>
      </c>
      <c r="C529" s="6" t="s">
        <v>1139</v>
      </c>
      <c r="D529" s="6" t="s">
        <v>112</v>
      </c>
      <c r="E529" s="6" t="s">
        <v>113</v>
      </c>
      <c r="F529" s="7" t="s">
        <v>103</v>
      </c>
      <c r="G529" s="7" t="s">
        <v>104</v>
      </c>
      <c r="H529" s="7"/>
      <c r="I529" s="7"/>
      <c r="J529" s="7" t="s">
        <v>1154</v>
      </c>
      <c r="K529" s="7" t="s">
        <v>1155</v>
      </c>
      <c r="L529" s="7" t="s">
        <v>111</v>
      </c>
      <c r="M529" s="8" t="str">
        <f t="shared" si="16"/>
        <v>NA</v>
      </c>
      <c r="N529" s="8" t="str">
        <f t="shared" si="17"/>
        <v>Complete</v>
      </c>
    </row>
    <row r="530" spans="1:14" ht="27" customHeight="1">
      <c r="A530" s="6">
        <v>529</v>
      </c>
      <c r="B530" s="6" t="s">
        <v>1138</v>
      </c>
      <c r="C530" s="6" t="s">
        <v>1139</v>
      </c>
      <c r="D530" s="6" t="s">
        <v>117</v>
      </c>
      <c r="E530" s="6" t="s">
        <v>118</v>
      </c>
      <c r="F530" s="7" t="s">
        <v>77</v>
      </c>
      <c r="G530" s="7"/>
      <c r="H530" s="7" t="s">
        <v>88</v>
      </c>
      <c r="I530" s="7" t="s">
        <v>89</v>
      </c>
      <c r="J530" s="7" t="s">
        <v>1156</v>
      </c>
      <c r="K530" s="7" t="s">
        <v>1157</v>
      </c>
      <c r="L530" s="7" t="s">
        <v>111</v>
      </c>
      <c r="M530" s="8" t="str">
        <f t="shared" si="16"/>
        <v>R</v>
      </c>
      <c r="N530" s="8" t="str">
        <f t="shared" si="17"/>
        <v>Complete</v>
      </c>
    </row>
    <row r="531" spans="1:14" ht="40.5" customHeight="1">
      <c r="A531" s="6">
        <v>530</v>
      </c>
      <c r="B531" s="6" t="s">
        <v>1138</v>
      </c>
      <c r="C531" s="6" t="s">
        <v>1139</v>
      </c>
      <c r="D531" s="6" t="s">
        <v>122</v>
      </c>
      <c r="E531" s="6" t="s">
        <v>123</v>
      </c>
      <c r="F531" s="7" t="s">
        <v>103</v>
      </c>
      <c r="G531" s="7" t="s">
        <v>104</v>
      </c>
      <c r="H531" s="7"/>
      <c r="I531" s="7"/>
      <c r="J531" s="7" t="s">
        <v>1158</v>
      </c>
      <c r="K531" s="7" t="s">
        <v>168</v>
      </c>
      <c r="L531" s="7" t="s">
        <v>81</v>
      </c>
      <c r="M531" s="8" t="str">
        <f t="shared" si="16"/>
        <v>NA</v>
      </c>
      <c r="N531" s="8" t="str">
        <f t="shared" si="17"/>
        <v>Complete</v>
      </c>
    </row>
    <row r="532" spans="1:14" ht="27" customHeight="1">
      <c r="A532" s="6">
        <v>531</v>
      </c>
      <c r="B532" s="6" t="s">
        <v>1159</v>
      </c>
      <c r="C532" s="6" t="s">
        <v>1160</v>
      </c>
      <c r="D532" s="6" t="s">
        <v>75</v>
      </c>
      <c r="E532" s="6" t="s">
        <v>76</v>
      </c>
      <c r="F532" s="7" t="s">
        <v>77</v>
      </c>
      <c r="G532" s="7"/>
      <c r="H532" s="7" t="s">
        <v>78</v>
      </c>
      <c r="I532" s="7"/>
      <c r="J532" s="7" t="s">
        <v>1161</v>
      </c>
      <c r="K532" s="7" t="s">
        <v>1162</v>
      </c>
      <c r="L532" s="7" t="s">
        <v>81</v>
      </c>
      <c r="M532" s="8" t="str">
        <f t="shared" si="16"/>
        <v>D</v>
      </c>
      <c r="N532" s="8" t="str">
        <f t="shared" si="17"/>
        <v>Complete</v>
      </c>
    </row>
    <row r="533" spans="1:14" ht="27" customHeight="1">
      <c r="A533" s="6">
        <v>532</v>
      </c>
      <c r="B533" s="6" t="s">
        <v>1159</v>
      </c>
      <c r="C533" s="6" t="s">
        <v>1160</v>
      </c>
      <c r="D533" s="6" t="s">
        <v>82</v>
      </c>
      <c r="E533" s="6" t="s">
        <v>83</v>
      </c>
      <c r="F533" s="7" t="s">
        <v>77</v>
      </c>
      <c r="G533" s="7"/>
      <c r="H533" s="7" t="s">
        <v>78</v>
      </c>
      <c r="I533" s="7"/>
      <c r="J533" s="7" t="s">
        <v>1163</v>
      </c>
      <c r="K533" s="7" t="s">
        <v>1164</v>
      </c>
      <c r="L533" s="7" t="s">
        <v>132</v>
      </c>
      <c r="M533" s="8" t="str">
        <f t="shared" si="16"/>
        <v>D</v>
      </c>
      <c r="N533" s="8" t="str">
        <f t="shared" si="17"/>
        <v>Complete</v>
      </c>
    </row>
    <row r="534" spans="1:14" ht="27" customHeight="1">
      <c r="A534" s="6">
        <v>533</v>
      </c>
      <c r="B534" s="6" t="s">
        <v>1159</v>
      </c>
      <c r="C534" s="6" t="s">
        <v>1160</v>
      </c>
      <c r="D534" s="6" t="s">
        <v>86</v>
      </c>
      <c r="E534" s="6" t="s">
        <v>87</v>
      </c>
      <c r="F534" s="7" t="s">
        <v>77</v>
      </c>
      <c r="G534" s="7"/>
      <c r="H534" s="7" t="s">
        <v>78</v>
      </c>
      <c r="I534" s="7"/>
      <c r="J534" s="7" t="s">
        <v>1165</v>
      </c>
      <c r="K534" s="7" t="s">
        <v>1166</v>
      </c>
      <c r="L534" s="7" t="s">
        <v>111</v>
      </c>
      <c r="M534" s="8" t="str">
        <f t="shared" si="16"/>
        <v>D</v>
      </c>
      <c r="N534" s="8" t="str">
        <f t="shared" si="17"/>
        <v>Complete</v>
      </c>
    </row>
    <row r="535" spans="1:14" ht="40.5" customHeight="1">
      <c r="A535" s="6">
        <v>534</v>
      </c>
      <c r="B535" s="6" t="s">
        <v>1159</v>
      </c>
      <c r="C535" s="6" t="s">
        <v>1160</v>
      </c>
      <c r="D535" s="6" t="s">
        <v>92</v>
      </c>
      <c r="E535" s="6" t="s">
        <v>93</v>
      </c>
      <c r="F535" s="7" t="s">
        <v>77</v>
      </c>
      <c r="G535" s="7"/>
      <c r="H535" s="7" t="s">
        <v>94</v>
      </c>
      <c r="I535" s="7"/>
      <c r="J535" s="7" t="s">
        <v>1167</v>
      </c>
      <c r="K535" s="7" t="s">
        <v>1168</v>
      </c>
      <c r="L535" s="7" t="s">
        <v>81</v>
      </c>
      <c r="M535" s="8" t="str">
        <f t="shared" si="16"/>
        <v>U</v>
      </c>
      <c r="N535" s="8" t="str">
        <f t="shared" si="17"/>
        <v>Complete</v>
      </c>
    </row>
    <row r="536" spans="1:14" ht="40.5" customHeight="1">
      <c r="A536" s="6">
        <v>535</v>
      </c>
      <c r="B536" s="6" t="s">
        <v>1159</v>
      </c>
      <c r="C536" s="6" t="s">
        <v>1160</v>
      </c>
      <c r="D536" s="6" t="s">
        <v>97</v>
      </c>
      <c r="E536" s="6" t="s">
        <v>98</v>
      </c>
      <c r="F536" s="7" t="s">
        <v>103</v>
      </c>
      <c r="G536" s="7" t="s">
        <v>104</v>
      </c>
      <c r="H536" s="7"/>
      <c r="I536" s="7"/>
      <c r="J536" s="7" t="s">
        <v>1169</v>
      </c>
      <c r="K536" s="7" t="s">
        <v>1170</v>
      </c>
      <c r="L536" s="7" t="s">
        <v>111</v>
      </c>
      <c r="M536" s="8" t="str">
        <f t="shared" si="16"/>
        <v>NA</v>
      </c>
      <c r="N536" s="8" t="str">
        <f t="shared" si="17"/>
        <v>Complete</v>
      </c>
    </row>
    <row r="537" spans="1:14" ht="40.5" customHeight="1">
      <c r="A537" s="6">
        <v>536</v>
      </c>
      <c r="B537" s="6" t="s">
        <v>1159</v>
      </c>
      <c r="C537" s="6" t="s">
        <v>1160</v>
      </c>
      <c r="D537" s="6" t="s">
        <v>101</v>
      </c>
      <c r="E537" s="6" t="s">
        <v>102</v>
      </c>
      <c r="F537" s="7" t="s">
        <v>103</v>
      </c>
      <c r="G537" s="7" t="s">
        <v>104</v>
      </c>
      <c r="H537" s="7"/>
      <c r="I537" s="7"/>
      <c r="J537" s="7" t="s">
        <v>1171</v>
      </c>
      <c r="K537" s="7" t="s">
        <v>1172</v>
      </c>
      <c r="L537" s="7" t="s">
        <v>81</v>
      </c>
      <c r="M537" s="8" t="str">
        <f t="shared" si="16"/>
        <v>NA</v>
      </c>
      <c r="N537" s="8" t="str">
        <f t="shared" si="17"/>
        <v>Complete</v>
      </c>
    </row>
    <row r="538" spans="1:14" ht="27" customHeight="1">
      <c r="A538" s="6">
        <v>537</v>
      </c>
      <c r="B538" s="6" t="s">
        <v>1159</v>
      </c>
      <c r="C538" s="6" t="s">
        <v>1160</v>
      </c>
      <c r="D538" s="6" t="s">
        <v>107</v>
      </c>
      <c r="E538" s="6" t="s">
        <v>108</v>
      </c>
      <c r="F538" s="7" t="s">
        <v>77</v>
      </c>
      <c r="G538" s="7"/>
      <c r="H538" s="7" t="s">
        <v>94</v>
      </c>
      <c r="I538" s="7"/>
      <c r="J538" s="7" t="s">
        <v>1173</v>
      </c>
      <c r="K538" s="7" t="s">
        <v>1174</v>
      </c>
      <c r="L538" s="7" t="s">
        <v>81</v>
      </c>
      <c r="M538" s="8" t="str">
        <f t="shared" si="16"/>
        <v>U</v>
      </c>
      <c r="N538" s="8" t="str">
        <f t="shared" si="17"/>
        <v>Complete</v>
      </c>
    </row>
    <row r="539" spans="1:14" ht="40.5" customHeight="1">
      <c r="A539" s="6">
        <v>538</v>
      </c>
      <c r="B539" s="6" t="s">
        <v>1159</v>
      </c>
      <c r="C539" s="6" t="s">
        <v>1160</v>
      </c>
      <c r="D539" s="6" t="s">
        <v>112</v>
      </c>
      <c r="E539" s="6" t="s">
        <v>113</v>
      </c>
      <c r="F539" s="7" t="s">
        <v>77</v>
      </c>
      <c r="G539" s="7"/>
      <c r="H539" s="7" t="s">
        <v>94</v>
      </c>
      <c r="I539" s="7"/>
      <c r="J539" s="7" t="s">
        <v>1175</v>
      </c>
      <c r="K539" s="7" t="s">
        <v>1176</v>
      </c>
      <c r="L539" s="7" t="s">
        <v>111</v>
      </c>
      <c r="M539" s="8" t="str">
        <f t="shared" si="16"/>
        <v>U</v>
      </c>
      <c r="N539" s="8" t="str">
        <f t="shared" si="17"/>
        <v>Complete</v>
      </c>
    </row>
    <row r="540" spans="1:14" ht="40.5" customHeight="1">
      <c r="A540" s="6">
        <v>539</v>
      </c>
      <c r="B540" s="6" t="s">
        <v>1159</v>
      </c>
      <c r="C540" s="6" t="s">
        <v>1160</v>
      </c>
      <c r="D540" s="6" t="s">
        <v>117</v>
      </c>
      <c r="E540" s="6" t="s">
        <v>118</v>
      </c>
      <c r="F540" s="7" t="s">
        <v>103</v>
      </c>
      <c r="G540" s="7" t="s">
        <v>104</v>
      </c>
      <c r="H540" s="7"/>
      <c r="I540" s="7"/>
      <c r="J540" s="7" t="s">
        <v>1177</v>
      </c>
      <c r="K540" s="7" t="s">
        <v>1178</v>
      </c>
      <c r="L540" s="7" t="s">
        <v>111</v>
      </c>
      <c r="M540" s="8" t="str">
        <f t="shared" si="16"/>
        <v>NA</v>
      </c>
      <c r="N540" s="8" t="str">
        <f t="shared" si="17"/>
        <v>Complete</v>
      </c>
    </row>
    <row r="541" spans="1:14" ht="40.5" customHeight="1">
      <c r="A541" s="6">
        <v>540</v>
      </c>
      <c r="B541" s="6" t="s">
        <v>1159</v>
      </c>
      <c r="C541" s="6" t="s">
        <v>1160</v>
      </c>
      <c r="D541" s="6" t="s">
        <v>122</v>
      </c>
      <c r="E541" s="6" t="s">
        <v>123</v>
      </c>
      <c r="F541" s="7" t="s">
        <v>103</v>
      </c>
      <c r="G541" s="7" t="s">
        <v>104</v>
      </c>
      <c r="H541" s="7"/>
      <c r="I541" s="7"/>
      <c r="J541" s="7" t="s">
        <v>1179</v>
      </c>
      <c r="K541" s="7" t="s">
        <v>168</v>
      </c>
      <c r="L541" s="7" t="s">
        <v>81</v>
      </c>
      <c r="M541" s="8" t="str">
        <f t="shared" si="16"/>
        <v>NA</v>
      </c>
      <c r="N541" s="8" t="str">
        <f t="shared" si="17"/>
        <v>Complete</v>
      </c>
    </row>
    <row r="542" spans="1:14" ht="27" customHeight="1">
      <c r="A542" s="6">
        <v>541</v>
      </c>
      <c r="B542" s="6" t="s">
        <v>1180</v>
      </c>
      <c r="C542" s="6" t="s">
        <v>1181</v>
      </c>
      <c r="D542" s="6" t="s">
        <v>75</v>
      </c>
      <c r="E542" s="6" t="s">
        <v>76</v>
      </c>
      <c r="F542" s="7" t="s">
        <v>77</v>
      </c>
      <c r="G542" s="7"/>
      <c r="H542" s="7" t="s">
        <v>78</v>
      </c>
      <c r="I542" s="7"/>
      <c r="J542" s="7" t="s">
        <v>1182</v>
      </c>
      <c r="K542" s="7" t="s">
        <v>1183</v>
      </c>
      <c r="L542" s="7" t="s">
        <v>132</v>
      </c>
      <c r="M542" s="8" t="str">
        <f t="shared" si="16"/>
        <v>D</v>
      </c>
      <c r="N542" s="8" t="str">
        <f t="shared" si="17"/>
        <v>Complete</v>
      </c>
    </row>
    <row r="543" spans="1:14" ht="27" customHeight="1">
      <c r="A543" s="6">
        <v>542</v>
      </c>
      <c r="B543" s="6" t="s">
        <v>1180</v>
      </c>
      <c r="C543" s="6" t="s">
        <v>1181</v>
      </c>
      <c r="D543" s="6" t="s">
        <v>82</v>
      </c>
      <c r="E543" s="6" t="s">
        <v>83</v>
      </c>
      <c r="F543" s="7" t="s">
        <v>77</v>
      </c>
      <c r="G543" s="7"/>
      <c r="H543" s="7" t="s">
        <v>88</v>
      </c>
      <c r="I543" s="7" t="s">
        <v>89</v>
      </c>
      <c r="J543" s="7" t="s">
        <v>1184</v>
      </c>
      <c r="K543" s="7" t="s">
        <v>1185</v>
      </c>
      <c r="L543" s="7" t="s">
        <v>81</v>
      </c>
      <c r="M543" s="8" t="str">
        <f t="shared" si="16"/>
        <v>R</v>
      </c>
      <c r="N543" s="8" t="str">
        <f t="shared" si="17"/>
        <v>Complete</v>
      </c>
    </row>
    <row r="544" spans="1:14" ht="40.5" customHeight="1">
      <c r="A544" s="6">
        <v>543</v>
      </c>
      <c r="B544" s="6" t="s">
        <v>1180</v>
      </c>
      <c r="C544" s="6" t="s">
        <v>1181</v>
      </c>
      <c r="D544" s="6" t="s">
        <v>86</v>
      </c>
      <c r="E544" s="6" t="s">
        <v>87</v>
      </c>
      <c r="F544" s="7" t="s">
        <v>103</v>
      </c>
      <c r="G544" s="7" t="s">
        <v>114</v>
      </c>
      <c r="H544" s="7"/>
      <c r="I544" s="7"/>
      <c r="J544" s="7" t="s">
        <v>1186</v>
      </c>
      <c r="K544" s="7" t="s">
        <v>1187</v>
      </c>
      <c r="L544" s="7" t="s">
        <v>81</v>
      </c>
      <c r="M544" s="8" t="str">
        <f t="shared" si="16"/>
        <v>NA</v>
      </c>
      <c r="N544" s="8" t="str">
        <f t="shared" si="17"/>
        <v>Complete</v>
      </c>
    </row>
    <row r="545" spans="1:14" ht="27" customHeight="1">
      <c r="A545" s="6">
        <v>544</v>
      </c>
      <c r="B545" s="6" t="s">
        <v>1180</v>
      </c>
      <c r="C545" s="6" t="s">
        <v>1181</v>
      </c>
      <c r="D545" s="6" t="s">
        <v>92</v>
      </c>
      <c r="E545" s="6" t="s">
        <v>93</v>
      </c>
      <c r="F545" s="7" t="s">
        <v>77</v>
      </c>
      <c r="G545" s="7"/>
      <c r="H545" s="7" t="s">
        <v>88</v>
      </c>
      <c r="I545" s="7" t="s">
        <v>119</v>
      </c>
      <c r="J545" s="7" t="s">
        <v>1188</v>
      </c>
      <c r="K545" s="7" t="s">
        <v>1189</v>
      </c>
      <c r="L545" s="7" t="s">
        <v>111</v>
      </c>
      <c r="M545" s="8" t="str">
        <f t="shared" si="16"/>
        <v>R</v>
      </c>
      <c r="N545" s="8" t="str">
        <f t="shared" si="17"/>
        <v>Complete</v>
      </c>
    </row>
    <row r="546" spans="1:14" ht="27" customHeight="1">
      <c r="A546" s="6">
        <v>545</v>
      </c>
      <c r="B546" s="6" t="s">
        <v>1180</v>
      </c>
      <c r="C546" s="6" t="s">
        <v>1181</v>
      </c>
      <c r="D546" s="6" t="s">
        <v>97</v>
      </c>
      <c r="E546" s="6" t="s">
        <v>98</v>
      </c>
      <c r="F546" s="7" t="s">
        <v>77</v>
      </c>
      <c r="G546" s="7"/>
      <c r="H546" s="7" t="s">
        <v>94</v>
      </c>
      <c r="I546" s="7"/>
      <c r="J546" s="7" t="s">
        <v>1190</v>
      </c>
      <c r="K546" s="7" t="s">
        <v>1191</v>
      </c>
      <c r="L546" s="7" t="s">
        <v>81</v>
      </c>
      <c r="M546" s="8" t="str">
        <f t="shared" si="16"/>
        <v>U</v>
      </c>
      <c r="N546" s="8" t="str">
        <f t="shared" si="17"/>
        <v>Complete</v>
      </c>
    </row>
    <row r="547" spans="1:14" ht="40.5" customHeight="1">
      <c r="A547" s="6">
        <v>546</v>
      </c>
      <c r="B547" s="6" t="s">
        <v>1180</v>
      </c>
      <c r="C547" s="6" t="s">
        <v>1181</v>
      </c>
      <c r="D547" s="6" t="s">
        <v>101</v>
      </c>
      <c r="E547" s="6" t="s">
        <v>102</v>
      </c>
      <c r="F547" s="7" t="s">
        <v>103</v>
      </c>
      <c r="G547" s="7" t="s">
        <v>104</v>
      </c>
      <c r="H547" s="7"/>
      <c r="I547" s="7"/>
      <c r="J547" s="7" t="s">
        <v>1192</v>
      </c>
      <c r="K547" s="7" t="s">
        <v>407</v>
      </c>
      <c r="L547" s="7" t="s">
        <v>81</v>
      </c>
      <c r="M547" s="8" t="str">
        <f t="shared" si="16"/>
        <v>NA</v>
      </c>
      <c r="N547" s="8" t="str">
        <f t="shared" si="17"/>
        <v>Complete</v>
      </c>
    </row>
    <row r="548" spans="1:14" ht="40.5" customHeight="1">
      <c r="A548" s="6">
        <v>547</v>
      </c>
      <c r="B548" s="6" t="s">
        <v>1180</v>
      </c>
      <c r="C548" s="6" t="s">
        <v>1181</v>
      </c>
      <c r="D548" s="6" t="s">
        <v>107</v>
      </c>
      <c r="E548" s="6" t="s">
        <v>108</v>
      </c>
      <c r="F548" s="7" t="s">
        <v>103</v>
      </c>
      <c r="G548" s="7" t="s">
        <v>104</v>
      </c>
      <c r="H548" s="7"/>
      <c r="I548" s="7"/>
      <c r="J548" s="7" t="s">
        <v>1193</v>
      </c>
      <c r="K548" s="7" t="s">
        <v>505</v>
      </c>
      <c r="L548" s="7" t="s">
        <v>81</v>
      </c>
      <c r="M548" s="8" t="str">
        <f t="shared" si="16"/>
        <v>NA</v>
      </c>
      <c r="N548" s="8" t="str">
        <f t="shared" si="17"/>
        <v>Complete</v>
      </c>
    </row>
    <row r="549" spans="1:14" ht="40.5" customHeight="1">
      <c r="A549" s="6">
        <v>548</v>
      </c>
      <c r="B549" s="6" t="s">
        <v>1180</v>
      </c>
      <c r="C549" s="6" t="s">
        <v>1181</v>
      </c>
      <c r="D549" s="6" t="s">
        <v>112</v>
      </c>
      <c r="E549" s="6" t="s">
        <v>113</v>
      </c>
      <c r="F549" s="7" t="s">
        <v>103</v>
      </c>
      <c r="G549" s="7" t="s">
        <v>114</v>
      </c>
      <c r="H549" s="7"/>
      <c r="I549" s="7"/>
      <c r="J549" s="7" t="s">
        <v>1192</v>
      </c>
      <c r="K549" s="7" t="s">
        <v>184</v>
      </c>
      <c r="L549" s="7" t="s">
        <v>132</v>
      </c>
      <c r="M549" s="8" t="str">
        <f t="shared" si="16"/>
        <v>NA</v>
      </c>
      <c r="N549" s="8" t="str">
        <f t="shared" si="17"/>
        <v>Complete</v>
      </c>
    </row>
    <row r="550" spans="1:14" ht="40.5" customHeight="1">
      <c r="A550" s="6">
        <v>549</v>
      </c>
      <c r="B550" s="6" t="s">
        <v>1180</v>
      </c>
      <c r="C550" s="6" t="s">
        <v>1181</v>
      </c>
      <c r="D550" s="6" t="s">
        <v>117</v>
      </c>
      <c r="E550" s="6" t="s">
        <v>118</v>
      </c>
      <c r="F550" s="7" t="s">
        <v>103</v>
      </c>
      <c r="G550" s="7" t="s">
        <v>114</v>
      </c>
      <c r="H550" s="7"/>
      <c r="I550" s="7"/>
      <c r="J550" s="7" t="s">
        <v>1186</v>
      </c>
      <c r="K550" s="7" t="s">
        <v>1194</v>
      </c>
      <c r="L550" s="7" t="s">
        <v>81</v>
      </c>
      <c r="M550" s="8" t="str">
        <f t="shared" si="16"/>
        <v>NA</v>
      </c>
      <c r="N550" s="8" t="str">
        <f t="shared" si="17"/>
        <v>Complete</v>
      </c>
    </row>
    <row r="551" spans="1:14" ht="40.5" customHeight="1">
      <c r="A551" s="6">
        <v>550</v>
      </c>
      <c r="B551" s="6" t="s">
        <v>1180</v>
      </c>
      <c r="C551" s="6" t="s">
        <v>1181</v>
      </c>
      <c r="D551" s="6" t="s">
        <v>122</v>
      </c>
      <c r="E551" s="6" t="s">
        <v>123</v>
      </c>
      <c r="F551" s="7" t="s">
        <v>103</v>
      </c>
      <c r="G551" s="7" t="s">
        <v>114</v>
      </c>
      <c r="H551" s="7"/>
      <c r="I551" s="7"/>
      <c r="J551" s="7" t="s">
        <v>1195</v>
      </c>
      <c r="K551" s="7" t="s">
        <v>1196</v>
      </c>
      <c r="L551" s="7" t="s">
        <v>81</v>
      </c>
      <c r="M551" s="8" t="str">
        <f t="shared" si="16"/>
        <v>NA</v>
      </c>
      <c r="N551" s="8" t="str">
        <f t="shared" si="17"/>
        <v>Complete</v>
      </c>
    </row>
    <row r="552" spans="1:14" ht="40.5" customHeight="1">
      <c r="A552" s="6">
        <v>551</v>
      </c>
      <c r="B552" s="6" t="s">
        <v>1197</v>
      </c>
      <c r="C552" s="6" t="s">
        <v>1198</v>
      </c>
      <c r="D552" s="6" t="s">
        <v>75</v>
      </c>
      <c r="E552" s="6" t="s">
        <v>76</v>
      </c>
      <c r="F552" s="7" t="s">
        <v>77</v>
      </c>
      <c r="G552" s="7"/>
      <c r="H552" s="7" t="s">
        <v>88</v>
      </c>
      <c r="I552" s="7" t="s">
        <v>89</v>
      </c>
      <c r="J552" s="7" t="s">
        <v>1199</v>
      </c>
      <c r="K552" s="7" t="s">
        <v>1200</v>
      </c>
      <c r="L552" s="7" t="s">
        <v>81</v>
      </c>
      <c r="M552" s="8" t="str">
        <f t="shared" si="16"/>
        <v>R</v>
      </c>
      <c r="N552" s="8" t="str">
        <f t="shared" si="17"/>
        <v>Complete</v>
      </c>
    </row>
    <row r="553" spans="1:14" ht="27" customHeight="1">
      <c r="A553" s="6">
        <v>552</v>
      </c>
      <c r="B553" s="6" t="s">
        <v>1197</v>
      </c>
      <c r="C553" s="6" t="s">
        <v>1198</v>
      </c>
      <c r="D553" s="6" t="s">
        <v>82</v>
      </c>
      <c r="E553" s="6" t="s">
        <v>83</v>
      </c>
      <c r="F553" s="7" t="s">
        <v>77</v>
      </c>
      <c r="G553" s="7"/>
      <c r="H553" s="7" t="s">
        <v>88</v>
      </c>
      <c r="I553" s="7" t="s">
        <v>89</v>
      </c>
      <c r="J553" s="7" t="s">
        <v>1201</v>
      </c>
      <c r="K553" s="7" t="s">
        <v>1202</v>
      </c>
      <c r="L553" s="7" t="s">
        <v>111</v>
      </c>
      <c r="M553" s="8" t="str">
        <f t="shared" si="16"/>
        <v>R</v>
      </c>
      <c r="N553" s="8" t="str">
        <f t="shared" si="17"/>
        <v>Complete</v>
      </c>
    </row>
    <row r="554" spans="1:14" ht="40.5" customHeight="1">
      <c r="A554" s="6">
        <v>553</v>
      </c>
      <c r="B554" s="6" t="s">
        <v>1197</v>
      </c>
      <c r="C554" s="6" t="s">
        <v>1198</v>
      </c>
      <c r="D554" s="6" t="s">
        <v>86</v>
      </c>
      <c r="E554" s="6" t="s">
        <v>87</v>
      </c>
      <c r="F554" s="7" t="s">
        <v>77</v>
      </c>
      <c r="G554" s="7"/>
      <c r="H554" s="7" t="s">
        <v>94</v>
      </c>
      <c r="I554" s="7"/>
      <c r="J554" s="7" t="s">
        <v>1203</v>
      </c>
      <c r="K554" s="7" t="s">
        <v>1204</v>
      </c>
      <c r="L554" s="7" t="s">
        <v>81</v>
      </c>
      <c r="M554" s="8" t="str">
        <f t="shared" si="16"/>
        <v>U</v>
      </c>
      <c r="N554" s="8" t="str">
        <f t="shared" si="17"/>
        <v>Complete</v>
      </c>
    </row>
    <row r="555" spans="1:14" ht="27" customHeight="1">
      <c r="A555" s="6">
        <v>554</v>
      </c>
      <c r="B555" s="6" t="s">
        <v>1197</v>
      </c>
      <c r="C555" s="6" t="s">
        <v>1198</v>
      </c>
      <c r="D555" s="6" t="s">
        <v>92</v>
      </c>
      <c r="E555" s="6" t="s">
        <v>93</v>
      </c>
      <c r="F555" s="7" t="s">
        <v>77</v>
      </c>
      <c r="G555" s="7"/>
      <c r="H555" s="7" t="s">
        <v>94</v>
      </c>
      <c r="I555" s="7"/>
      <c r="J555" s="7" t="s">
        <v>1205</v>
      </c>
      <c r="K555" s="7" t="s">
        <v>1206</v>
      </c>
      <c r="L555" s="7" t="s">
        <v>81</v>
      </c>
      <c r="M555" s="8" t="str">
        <f t="shared" si="16"/>
        <v>U</v>
      </c>
      <c r="N555" s="8" t="str">
        <f t="shared" si="17"/>
        <v>Complete</v>
      </c>
    </row>
    <row r="556" spans="1:14" ht="27" customHeight="1">
      <c r="A556" s="6">
        <v>555</v>
      </c>
      <c r="B556" s="6" t="s">
        <v>1197</v>
      </c>
      <c r="C556" s="6" t="s">
        <v>1198</v>
      </c>
      <c r="D556" s="6" t="s">
        <v>97</v>
      </c>
      <c r="E556" s="6" t="s">
        <v>98</v>
      </c>
      <c r="F556" s="7" t="s">
        <v>77</v>
      </c>
      <c r="G556" s="7"/>
      <c r="H556" s="7" t="s">
        <v>94</v>
      </c>
      <c r="I556" s="7"/>
      <c r="J556" s="7" t="s">
        <v>1207</v>
      </c>
      <c r="K556" s="7" t="s">
        <v>1208</v>
      </c>
      <c r="L556" s="7" t="s">
        <v>81</v>
      </c>
      <c r="M556" s="8" t="str">
        <f t="shared" si="16"/>
        <v>U</v>
      </c>
      <c r="N556" s="8" t="str">
        <f t="shared" si="17"/>
        <v>Complete</v>
      </c>
    </row>
    <row r="557" spans="1:14" ht="40.5" customHeight="1">
      <c r="A557" s="6">
        <v>556</v>
      </c>
      <c r="B557" s="6" t="s">
        <v>1197</v>
      </c>
      <c r="C557" s="6" t="s">
        <v>1198</v>
      </c>
      <c r="D557" s="6" t="s">
        <v>101</v>
      </c>
      <c r="E557" s="6" t="s">
        <v>102</v>
      </c>
      <c r="F557" s="7" t="s">
        <v>103</v>
      </c>
      <c r="G557" s="7" t="s">
        <v>104</v>
      </c>
      <c r="H557" s="7"/>
      <c r="I557" s="7"/>
      <c r="J557" s="7" t="s">
        <v>1209</v>
      </c>
      <c r="K557" s="7" t="s">
        <v>407</v>
      </c>
      <c r="L557" s="7" t="s">
        <v>81</v>
      </c>
      <c r="M557" s="8" t="str">
        <f t="shared" si="16"/>
        <v>NA</v>
      </c>
      <c r="N557" s="8" t="str">
        <f t="shared" si="17"/>
        <v>Complete</v>
      </c>
    </row>
    <row r="558" spans="1:14" ht="40.5" customHeight="1">
      <c r="A558" s="6">
        <v>557</v>
      </c>
      <c r="B558" s="6" t="s">
        <v>1197</v>
      </c>
      <c r="C558" s="6" t="s">
        <v>1198</v>
      </c>
      <c r="D558" s="6" t="s">
        <v>107</v>
      </c>
      <c r="E558" s="6" t="s">
        <v>108</v>
      </c>
      <c r="F558" s="7" t="s">
        <v>77</v>
      </c>
      <c r="G558" s="7"/>
      <c r="H558" s="7" t="s">
        <v>94</v>
      </c>
      <c r="I558" s="7"/>
      <c r="J558" s="7" t="s">
        <v>1210</v>
      </c>
      <c r="K558" s="7" t="s">
        <v>1211</v>
      </c>
      <c r="L558" s="7" t="s">
        <v>81</v>
      </c>
      <c r="M558" s="8" t="str">
        <f t="shared" si="16"/>
        <v>U</v>
      </c>
      <c r="N558" s="8" t="str">
        <f t="shared" si="17"/>
        <v>Complete</v>
      </c>
    </row>
    <row r="559" spans="1:14" ht="40.5" customHeight="1">
      <c r="A559" s="6">
        <v>558</v>
      </c>
      <c r="B559" s="6" t="s">
        <v>1197</v>
      </c>
      <c r="C559" s="6" t="s">
        <v>1198</v>
      </c>
      <c r="D559" s="6" t="s">
        <v>112</v>
      </c>
      <c r="E559" s="6" t="s">
        <v>113</v>
      </c>
      <c r="F559" s="7" t="s">
        <v>103</v>
      </c>
      <c r="G559" s="7" t="s">
        <v>104</v>
      </c>
      <c r="H559" s="7"/>
      <c r="I559" s="7"/>
      <c r="J559" s="7" t="s">
        <v>1212</v>
      </c>
      <c r="K559" s="7" t="s">
        <v>1213</v>
      </c>
      <c r="L559" s="7" t="s">
        <v>111</v>
      </c>
      <c r="M559" s="8" t="str">
        <f t="shared" si="16"/>
        <v>NA</v>
      </c>
      <c r="N559" s="8" t="str">
        <f t="shared" si="17"/>
        <v>Complete</v>
      </c>
    </row>
    <row r="560" spans="1:14" ht="27" customHeight="1">
      <c r="A560" s="6">
        <v>559</v>
      </c>
      <c r="B560" s="6" t="s">
        <v>1197</v>
      </c>
      <c r="C560" s="6" t="s">
        <v>1198</v>
      </c>
      <c r="D560" s="6" t="s">
        <v>117</v>
      </c>
      <c r="E560" s="6" t="s">
        <v>118</v>
      </c>
      <c r="F560" s="7" t="s">
        <v>77</v>
      </c>
      <c r="G560" s="7"/>
      <c r="H560" s="7" t="s">
        <v>94</v>
      </c>
      <c r="I560" s="7"/>
      <c r="J560" s="7" t="s">
        <v>1203</v>
      </c>
      <c r="K560" s="7" t="s">
        <v>1214</v>
      </c>
      <c r="L560" s="7" t="s">
        <v>81</v>
      </c>
      <c r="M560" s="8" t="str">
        <f t="shared" si="16"/>
        <v>U</v>
      </c>
      <c r="N560" s="8" t="str">
        <f t="shared" si="17"/>
        <v>Complete</v>
      </c>
    </row>
    <row r="561" spans="1:14" ht="40.5" customHeight="1">
      <c r="A561" s="6">
        <v>560</v>
      </c>
      <c r="B561" s="6" t="s">
        <v>1197</v>
      </c>
      <c r="C561" s="6" t="s">
        <v>1198</v>
      </c>
      <c r="D561" s="6" t="s">
        <v>122</v>
      </c>
      <c r="E561" s="6" t="s">
        <v>123</v>
      </c>
      <c r="F561" s="7" t="s">
        <v>103</v>
      </c>
      <c r="G561" s="7" t="s">
        <v>104</v>
      </c>
      <c r="H561" s="7"/>
      <c r="I561" s="7"/>
      <c r="J561" s="7" t="s">
        <v>1209</v>
      </c>
      <c r="K561" s="7" t="s">
        <v>168</v>
      </c>
      <c r="L561" s="7" t="s">
        <v>81</v>
      </c>
      <c r="M561" s="8" t="str">
        <f t="shared" si="16"/>
        <v>NA</v>
      </c>
      <c r="N561" s="8" t="str">
        <f t="shared" si="17"/>
        <v>Complete</v>
      </c>
    </row>
    <row r="562" spans="1:14" ht="27" customHeight="1">
      <c r="A562" s="6">
        <v>561</v>
      </c>
      <c r="B562" s="6" t="s">
        <v>1215</v>
      </c>
      <c r="C562" s="6" t="s">
        <v>1216</v>
      </c>
      <c r="D562" s="6" t="s">
        <v>75</v>
      </c>
      <c r="E562" s="6" t="s">
        <v>76</v>
      </c>
      <c r="F562" s="7" t="s">
        <v>77</v>
      </c>
      <c r="G562" s="7"/>
      <c r="H562" s="7" t="s">
        <v>78</v>
      </c>
      <c r="I562" s="7"/>
      <c r="J562" s="7" t="s">
        <v>1217</v>
      </c>
      <c r="K562" s="7" t="s">
        <v>1218</v>
      </c>
      <c r="L562" s="7" t="s">
        <v>81</v>
      </c>
      <c r="M562" s="8" t="str">
        <f t="shared" si="16"/>
        <v>D</v>
      </c>
      <c r="N562" s="8" t="str">
        <f t="shared" si="17"/>
        <v>Complete</v>
      </c>
    </row>
    <row r="563" spans="1:14" ht="40.5" customHeight="1">
      <c r="A563" s="6">
        <v>562</v>
      </c>
      <c r="B563" s="6" t="s">
        <v>1215</v>
      </c>
      <c r="C563" s="6" t="s">
        <v>1216</v>
      </c>
      <c r="D563" s="6" t="s">
        <v>82</v>
      </c>
      <c r="E563" s="6" t="s">
        <v>83</v>
      </c>
      <c r="F563" s="7" t="s">
        <v>77</v>
      </c>
      <c r="G563" s="7"/>
      <c r="H563" s="7" t="s">
        <v>88</v>
      </c>
      <c r="I563" s="7" t="s">
        <v>89</v>
      </c>
      <c r="J563" s="7" t="s">
        <v>1219</v>
      </c>
      <c r="K563" s="7" t="s">
        <v>1220</v>
      </c>
      <c r="L563" s="7" t="s">
        <v>81</v>
      </c>
      <c r="M563" s="8" t="str">
        <f t="shared" si="16"/>
        <v>R</v>
      </c>
      <c r="N563" s="8" t="str">
        <f t="shared" si="17"/>
        <v>Complete</v>
      </c>
    </row>
    <row r="564" spans="1:14" ht="40.5" customHeight="1">
      <c r="A564" s="6">
        <v>563</v>
      </c>
      <c r="B564" s="6" t="s">
        <v>1215</v>
      </c>
      <c r="C564" s="6" t="s">
        <v>1216</v>
      </c>
      <c r="D564" s="6" t="s">
        <v>86</v>
      </c>
      <c r="E564" s="6" t="s">
        <v>87</v>
      </c>
      <c r="F564" s="7" t="s">
        <v>103</v>
      </c>
      <c r="G564" s="7" t="s">
        <v>104</v>
      </c>
      <c r="H564" s="7"/>
      <c r="I564" s="7"/>
      <c r="J564" s="7" t="s">
        <v>1221</v>
      </c>
      <c r="K564" s="7" t="s">
        <v>1222</v>
      </c>
      <c r="L564" s="7" t="s">
        <v>81</v>
      </c>
      <c r="M564" s="8" t="str">
        <f t="shared" si="16"/>
        <v>NA</v>
      </c>
      <c r="N564" s="8" t="str">
        <f t="shared" si="17"/>
        <v>Complete</v>
      </c>
    </row>
    <row r="565" spans="1:14" ht="40.5" customHeight="1">
      <c r="A565" s="6">
        <v>564</v>
      </c>
      <c r="B565" s="6" t="s">
        <v>1215</v>
      </c>
      <c r="C565" s="6" t="s">
        <v>1216</v>
      </c>
      <c r="D565" s="6" t="s">
        <v>92</v>
      </c>
      <c r="E565" s="6" t="s">
        <v>93</v>
      </c>
      <c r="F565" s="7" t="s">
        <v>77</v>
      </c>
      <c r="G565" s="7"/>
      <c r="H565" s="7" t="s">
        <v>94</v>
      </c>
      <c r="I565" s="7"/>
      <c r="J565" s="7" t="s">
        <v>1223</v>
      </c>
      <c r="K565" s="7" t="s">
        <v>1224</v>
      </c>
      <c r="L565" s="7" t="s">
        <v>81</v>
      </c>
      <c r="M565" s="8" t="str">
        <f t="shared" si="16"/>
        <v>U</v>
      </c>
      <c r="N565" s="8" t="str">
        <f t="shared" si="17"/>
        <v>Complete</v>
      </c>
    </row>
    <row r="566" spans="1:14" ht="27" customHeight="1">
      <c r="A566" s="6">
        <v>565</v>
      </c>
      <c r="B566" s="6" t="s">
        <v>1215</v>
      </c>
      <c r="C566" s="6" t="s">
        <v>1216</v>
      </c>
      <c r="D566" s="6" t="s">
        <v>97</v>
      </c>
      <c r="E566" s="6" t="s">
        <v>98</v>
      </c>
      <c r="F566" s="7" t="s">
        <v>77</v>
      </c>
      <c r="G566" s="7"/>
      <c r="H566" s="7" t="s">
        <v>94</v>
      </c>
      <c r="I566" s="7"/>
      <c r="J566" s="7" t="s">
        <v>1225</v>
      </c>
      <c r="K566" s="7" t="s">
        <v>1226</v>
      </c>
      <c r="L566" s="7" t="s">
        <v>81</v>
      </c>
      <c r="M566" s="8" t="str">
        <f t="shared" si="16"/>
        <v>U</v>
      </c>
      <c r="N566" s="8" t="str">
        <f t="shared" si="17"/>
        <v>Complete</v>
      </c>
    </row>
    <row r="567" spans="1:14" ht="40.5" customHeight="1">
      <c r="A567" s="6">
        <v>566</v>
      </c>
      <c r="B567" s="6" t="s">
        <v>1215</v>
      </c>
      <c r="C567" s="6" t="s">
        <v>1216</v>
      </c>
      <c r="D567" s="6" t="s">
        <v>101</v>
      </c>
      <c r="E567" s="6" t="s">
        <v>102</v>
      </c>
      <c r="F567" s="7" t="s">
        <v>103</v>
      </c>
      <c r="G567" s="7" t="s">
        <v>104</v>
      </c>
      <c r="H567" s="7"/>
      <c r="I567" s="7"/>
      <c r="J567" s="7" t="s">
        <v>1227</v>
      </c>
      <c r="K567" s="7" t="s">
        <v>1228</v>
      </c>
      <c r="L567" s="7" t="s">
        <v>81</v>
      </c>
      <c r="M567" s="8" t="str">
        <f t="shared" si="16"/>
        <v>NA</v>
      </c>
      <c r="N567" s="8" t="str">
        <f t="shared" si="17"/>
        <v>Complete</v>
      </c>
    </row>
    <row r="568" spans="1:14" ht="40.5" customHeight="1">
      <c r="A568" s="6">
        <v>567</v>
      </c>
      <c r="B568" s="6" t="s">
        <v>1215</v>
      </c>
      <c r="C568" s="6" t="s">
        <v>1216</v>
      </c>
      <c r="D568" s="6" t="s">
        <v>107</v>
      </c>
      <c r="E568" s="6" t="s">
        <v>108</v>
      </c>
      <c r="F568" s="7" t="s">
        <v>77</v>
      </c>
      <c r="G568" s="7"/>
      <c r="H568" s="7" t="s">
        <v>94</v>
      </c>
      <c r="I568" s="7"/>
      <c r="J568" s="7" t="s">
        <v>1229</v>
      </c>
      <c r="K568" s="7" t="s">
        <v>1230</v>
      </c>
      <c r="L568" s="7" t="s">
        <v>111</v>
      </c>
      <c r="M568" s="8" t="str">
        <f t="shared" si="16"/>
        <v>U</v>
      </c>
      <c r="N568" s="8" t="str">
        <f t="shared" si="17"/>
        <v>Complete</v>
      </c>
    </row>
    <row r="569" spans="1:14" ht="27" customHeight="1">
      <c r="A569" s="6">
        <v>568</v>
      </c>
      <c r="B569" s="6" t="s">
        <v>1215</v>
      </c>
      <c r="C569" s="6" t="s">
        <v>1216</v>
      </c>
      <c r="D569" s="6" t="s">
        <v>112</v>
      </c>
      <c r="E569" s="6" t="s">
        <v>113</v>
      </c>
      <c r="F569" s="7" t="s">
        <v>103</v>
      </c>
      <c r="G569" s="7" t="s">
        <v>104</v>
      </c>
      <c r="H569" s="7"/>
      <c r="I569" s="7"/>
      <c r="J569" s="7" t="s">
        <v>1231</v>
      </c>
      <c r="K569" s="7" t="s">
        <v>1232</v>
      </c>
      <c r="L569" s="7" t="s">
        <v>81</v>
      </c>
      <c r="M569" s="8" t="str">
        <f t="shared" si="16"/>
        <v>NA</v>
      </c>
      <c r="N569" s="8" t="str">
        <f t="shared" si="17"/>
        <v>Complete</v>
      </c>
    </row>
    <row r="570" spans="1:14" ht="40.5" customHeight="1">
      <c r="A570" s="6">
        <v>569</v>
      </c>
      <c r="B570" s="6" t="s">
        <v>1215</v>
      </c>
      <c r="C570" s="6" t="s">
        <v>1216</v>
      </c>
      <c r="D570" s="6" t="s">
        <v>117</v>
      </c>
      <c r="E570" s="6" t="s">
        <v>118</v>
      </c>
      <c r="F570" s="7" t="s">
        <v>103</v>
      </c>
      <c r="G570" s="7" t="s">
        <v>104</v>
      </c>
      <c r="H570" s="7"/>
      <c r="I570" s="7"/>
      <c r="J570" s="7" t="s">
        <v>1231</v>
      </c>
      <c r="K570" s="7" t="s">
        <v>1233</v>
      </c>
      <c r="L570" s="7" t="s">
        <v>81</v>
      </c>
      <c r="M570" s="8" t="str">
        <f t="shared" si="16"/>
        <v>NA</v>
      </c>
      <c r="N570" s="8" t="str">
        <f t="shared" si="17"/>
        <v>Complete</v>
      </c>
    </row>
    <row r="571" spans="1:14" ht="40.5" customHeight="1">
      <c r="A571" s="6">
        <v>570</v>
      </c>
      <c r="B571" s="6" t="s">
        <v>1215</v>
      </c>
      <c r="C571" s="6" t="s">
        <v>1216</v>
      </c>
      <c r="D571" s="6" t="s">
        <v>122</v>
      </c>
      <c r="E571" s="6" t="s">
        <v>123</v>
      </c>
      <c r="F571" s="7" t="s">
        <v>103</v>
      </c>
      <c r="G571" s="7" t="s">
        <v>104</v>
      </c>
      <c r="H571" s="7"/>
      <c r="I571" s="7"/>
      <c r="J571" s="7" t="s">
        <v>1234</v>
      </c>
      <c r="K571" s="7" t="s">
        <v>168</v>
      </c>
      <c r="L571" s="7" t="s">
        <v>81</v>
      </c>
      <c r="M571" s="8" t="str">
        <f t="shared" si="16"/>
        <v>NA</v>
      </c>
      <c r="N571" s="8" t="str">
        <f t="shared" si="17"/>
        <v>Complete</v>
      </c>
    </row>
    <row r="572" spans="1:14" ht="27" customHeight="1">
      <c r="A572" s="6">
        <v>571</v>
      </c>
      <c r="B572" s="6" t="s">
        <v>1235</v>
      </c>
      <c r="C572" s="6" t="s">
        <v>1236</v>
      </c>
      <c r="D572" s="6" t="s">
        <v>75</v>
      </c>
      <c r="E572" s="6" t="s">
        <v>76</v>
      </c>
      <c r="F572" s="7" t="s">
        <v>77</v>
      </c>
      <c r="G572" s="7"/>
      <c r="H572" s="7" t="s">
        <v>78</v>
      </c>
      <c r="I572" s="7"/>
      <c r="J572" s="7" t="s">
        <v>1237</v>
      </c>
      <c r="K572" s="7" t="s">
        <v>1238</v>
      </c>
      <c r="L572" s="7" t="s">
        <v>81</v>
      </c>
      <c r="M572" s="8" t="str">
        <f t="shared" si="16"/>
        <v>D</v>
      </c>
      <c r="N572" s="8" t="str">
        <f t="shared" si="17"/>
        <v>Complete</v>
      </c>
    </row>
    <row r="573" spans="1:14" ht="27" customHeight="1">
      <c r="A573" s="6">
        <v>572</v>
      </c>
      <c r="B573" s="6" t="s">
        <v>1235</v>
      </c>
      <c r="C573" s="6" t="s">
        <v>1236</v>
      </c>
      <c r="D573" s="6" t="s">
        <v>82</v>
      </c>
      <c r="E573" s="6" t="s">
        <v>83</v>
      </c>
      <c r="F573" s="7" t="s">
        <v>77</v>
      </c>
      <c r="G573" s="7"/>
      <c r="H573" s="7" t="s">
        <v>94</v>
      </c>
      <c r="I573" s="7"/>
      <c r="J573" s="7" t="s">
        <v>1239</v>
      </c>
      <c r="K573" s="7" t="s">
        <v>1240</v>
      </c>
      <c r="L573" s="7" t="s">
        <v>81</v>
      </c>
      <c r="M573" s="8" t="str">
        <f t="shared" si="16"/>
        <v>U</v>
      </c>
      <c r="N573" s="8" t="str">
        <f t="shared" si="17"/>
        <v>Complete</v>
      </c>
    </row>
    <row r="574" spans="1:14" ht="27" customHeight="1">
      <c r="A574" s="6">
        <v>573</v>
      </c>
      <c r="B574" s="6" t="s">
        <v>1235</v>
      </c>
      <c r="C574" s="6" t="s">
        <v>1236</v>
      </c>
      <c r="D574" s="6" t="s">
        <v>86</v>
      </c>
      <c r="E574" s="6" t="s">
        <v>87</v>
      </c>
      <c r="F574" s="7" t="s">
        <v>77</v>
      </c>
      <c r="G574" s="7"/>
      <c r="H574" s="7" t="s">
        <v>78</v>
      </c>
      <c r="I574" s="7"/>
      <c r="J574" s="7" t="s">
        <v>1241</v>
      </c>
      <c r="K574" s="7" t="s">
        <v>1242</v>
      </c>
      <c r="L574" s="7" t="s">
        <v>81</v>
      </c>
      <c r="M574" s="8" t="str">
        <f t="shared" si="16"/>
        <v>D</v>
      </c>
      <c r="N574" s="8" t="str">
        <f t="shared" si="17"/>
        <v>Complete</v>
      </c>
    </row>
    <row r="575" spans="1:14" ht="27" customHeight="1">
      <c r="A575" s="6">
        <v>574</v>
      </c>
      <c r="B575" s="6" t="s">
        <v>1235</v>
      </c>
      <c r="C575" s="6" t="s">
        <v>1236</v>
      </c>
      <c r="D575" s="6" t="s">
        <v>92</v>
      </c>
      <c r="E575" s="6" t="s">
        <v>93</v>
      </c>
      <c r="F575" s="7" t="s">
        <v>77</v>
      </c>
      <c r="G575" s="7"/>
      <c r="H575" s="7" t="s">
        <v>94</v>
      </c>
      <c r="I575" s="7"/>
      <c r="J575" s="7" t="s">
        <v>1243</v>
      </c>
      <c r="K575" s="7" t="s">
        <v>1244</v>
      </c>
      <c r="L575" s="7" t="s">
        <v>81</v>
      </c>
      <c r="M575" s="8" t="str">
        <f t="shared" si="16"/>
        <v>U</v>
      </c>
      <c r="N575" s="8" t="str">
        <f t="shared" si="17"/>
        <v>Complete</v>
      </c>
    </row>
    <row r="576" spans="1:14" ht="40.5" customHeight="1">
      <c r="A576" s="6">
        <v>575</v>
      </c>
      <c r="B576" s="6" t="s">
        <v>1235</v>
      </c>
      <c r="C576" s="6" t="s">
        <v>1236</v>
      </c>
      <c r="D576" s="6" t="s">
        <v>97</v>
      </c>
      <c r="E576" s="6" t="s">
        <v>98</v>
      </c>
      <c r="F576" s="7" t="s">
        <v>103</v>
      </c>
      <c r="G576" s="7" t="s">
        <v>104</v>
      </c>
      <c r="H576" s="7"/>
      <c r="I576" s="7"/>
      <c r="J576" s="7" t="s">
        <v>1245</v>
      </c>
      <c r="K576" s="7" t="s">
        <v>1246</v>
      </c>
      <c r="L576" s="7" t="s">
        <v>81</v>
      </c>
      <c r="M576" s="8" t="str">
        <f t="shared" si="16"/>
        <v>NA</v>
      </c>
      <c r="N576" s="8" t="str">
        <f t="shared" si="17"/>
        <v>Complete</v>
      </c>
    </row>
    <row r="577" spans="1:14" ht="40.5" customHeight="1">
      <c r="A577" s="6">
        <v>576</v>
      </c>
      <c r="B577" s="6" t="s">
        <v>1235</v>
      </c>
      <c r="C577" s="6" t="s">
        <v>1236</v>
      </c>
      <c r="D577" s="6" t="s">
        <v>101</v>
      </c>
      <c r="E577" s="6" t="s">
        <v>102</v>
      </c>
      <c r="F577" s="7" t="s">
        <v>103</v>
      </c>
      <c r="G577" s="7" t="s">
        <v>104</v>
      </c>
      <c r="H577" s="7"/>
      <c r="I577" s="7"/>
      <c r="J577" s="7" t="s">
        <v>1247</v>
      </c>
      <c r="K577" s="7" t="s">
        <v>407</v>
      </c>
      <c r="L577" s="7" t="s">
        <v>81</v>
      </c>
      <c r="M577" s="8" t="str">
        <f t="shared" si="16"/>
        <v>NA</v>
      </c>
      <c r="N577" s="8" t="str">
        <f t="shared" si="17"/>
        <v>Complete</v>
      </c>
    </row>
    <row r="578" spans="1:14" ht="40.5" customHeight="1">
      <c r="A578" s="6">
        <v>577</v>
      </c>
      <c r="B578" s="6" t="s">
        <v>1235</v>
      </c>
      <c r="C578" s="6" t="s">
        <v>1236</v>
      </c>
      <c r="D578" s="6" t="s">
        <v>107</v>
      </c>
      <c r="E578" s="6" t="s">
        <v>108</v>
      </c>
      <c r="F578" s="7" t="s">
        <v>103</v>
      </c>
      <c r="G578" s="7" t="s">
        <v>104</v>
      </c>
      <c r="H578" s="7"/>
      <c r="I578" s="7"/>
      <c r="J578" s="7" t="s">
        <v>1248</v>
      </c>
      <c r="K578" s="7" t="s">
        <v>505</v>
      </c>
      <c r="L578" s="7" t="s">
        <v>81</v>
      </c>
      <c r="M578" s="8" t="str">
        <f t="shared" ref="M578:M641" si="18">IF(F578="Not applicable","NA",IF(F578="Applicable",IF(H578="","",H578),""))</f>
        <v>NA</v>
      </c>
      <c r="N578" s="8" t="str">
        <f t="shared" ref="N578:N641" si="19">IF(F578="","Applicability missing",IF(AND(F578="Applicable",H578=""),"Record status missing",IF(AND(F578="Applicable",G578&lt;&gt;""),"Boundary strength must be blank for applicable rows",IF(AND(F578="Not applicable",G578=""),"Boundary strength missing",IF(AND(F578="Not applicable",H578&lt;&gt;""),"Record status must be blank for not-applicable rows",IF(AND(H578="R",I578=""),"Recovery stability missing",IF(J578="","Evidence location missing","Complete")))))))</f>
        <v>Complete</v>
      </c>
    </row>
    <row r="579" spans="1:14" ht="40.5" customHeight="1">
      <c r="A579" s="6">
        <v>578</v>
      </c>
      <c r="B579" s="6" t="s">
        <v>1235</v>
      </c>
      <c r="C579" s="6" t="s">
        <v>1236</v>
      </c>
      <c r="D579" s="6" t="s">
        <v>112</v>
      </c>
      <c r="E579" s="6" t="s">
        <v>113</v>
      </c>
      <c r="F579" s="7" t="s">
        <v>103</v>
      </c>
      <c r="G579" s="7" t="s">
        <v>114</v>
      </c>
      <c r="H579" s="7"/>
      <c r="I579" s="7"/>
      <c r="J579" s="7" t="s">
        <v>1249</v>
      </c>
      <c r="K579" s="7" t="s">
        <v>1250</v>
      </c>
      <c r="L579" s="7" t="s">
        <v>132</v>
      </c>
      <c r="M579" s="8" t="str">
        <f t="shared" si="18"/>
        <v>NA</v>
      </c>
      <c r="N579" s="8" t="str">
        <f t="shared" si="19"/>
        <v>Complete</v>
      </c>
    </row>
    <row r="580" spans="1:14" ht="40.5" customHeight="1">
      <c r="A580" s="6">
        <v>579</v>
      </c>
      <c r="B580" s="6" t="s">
        <v>1235</v>
      </c>
      <c r="C580" s="6" t="s">
        <v>1236</v>
      </c>
      <c r="D580" s="6" t="s">
        <v>117</v>
      </c>
      <c r="E580" s="6" t="s">
        <v>118</v>
      </c>
      <c r="F580" s="7" t="s">
        <v>103</v>
      </c>
      <c r="G580" s="7" t="s">
        <v>104</v>
      </c>
      <c r="H580" s="7"/>
      <c r="I580" s="7"/>
      <c r="J580" s="7" t="s">
        <v>1251</v>
      </c>
      <c r="K580" s="7" t="s">
        <v>1252</v>
      </c>
      <c r="L580" s="7" t="s">
        <v>81</v>
      </c>
      <c r="M580" s="8" t="str">
        <f t="shared" si="18"/>
        <v>NA</v>
      </c>
      <c r="N580" s="8" t="str">
        <f t="shared" si="19"/>
        <v>Complete</v>
      </c>
    </row>
    <row r="581" spans="1:14" ht="27" customHeight="1">
      <c r="A581" s="6">
        <v>580</v>
      </c>
      <c r="B581" s="6" t="s">
        <v>1235</v>
      </c>
      <c r="C581" s="6" t="s">
        <v>1236</v>
      </c>
      <c r="D581" s="6" t="s">
        <v>122</v>
      </c>
      <c r="E581" s="6" t="s">
        <v>123</v>
      </c>
      <c r="F581" s="7" t="s">
        <v>77</v>
      </c>
      <c r="G581" s="7"/>
      <c r="H581" s="7" t="s">
        <v>78</v>
      </c>
      <c r="I581" s="7"/>
      <c r="J581" s="7" t="s">
        <v>1253</v>
      </c>
      <c r="K581" s="7" t="s">
        <v>1254</v>
      </c>
      <c r="L581" s="7" t="s">
        <v>111</v>
      </c>
      <c r="M581" s="8" t="str">
        <f t="shared" si="18"/>
        <v>D</v>
      </c>
      <c r="N581" s="8" t="str">
        <f t="shared" si="19"/>
        <v>Complete</v>
      </c>
    </row>
    <row r="582" spans="1:14" ht="27" customHeight="1">
      <c r="A582" s="6">
        <v>581</v>
      </c>
      <c r="B582" s="6" t="s">
        <v>1255</v>
      </c>
      <c r="C582" s="6" t="s">
        <v>1256</v>
      </c>
      <c r="D582" s="6" t="s">
        <v>75</v>
      </c>
      <c r="E582" s="6" t="s">
        <v>76</v>
      </c>
      <c r="F582" s="7" t="s">
        <v>77</v>
      </c>
      <c r="G582" s="7"/>
      <c r="H582" s="7" t="s">
        <v>78</v>
      </c>
      <c r="I582" s="7"/>
      <c r="J582" s="7" t="s">
        <v>1257</v>
      </c>
      <c r="K582" s="7" t="s">
        <v>1258</v>
      </c>
      <c r="L582" s="7" t="s">
        <v>81</v>
      </c>
      <c r="M582" s="8" t="str">
        <f t="shared" si="18"/>
        <v>D</v>
      </c>
      <c r="N582" s="8" t="str">
        <f t="shared" si="19"/>
        <v>Complete</v>
      </c>
    </row>
    <row r="583" spans="1:14" ht="27" customHeight="1">
      <c r="A583" s="6">
        <v>582</v>
      </c>
      <c r="B583" s="6" t="s">
        <v>1255</v>
      </c>
      <c r="C583" s="6" t="s">
        <v>1256</v>
      </c>
      <c r="D583" s="6" t="s">
        <v>82</v>
      </c>
      <c r="E583" s="6" t="s">
        <v>83</v>
      </c>
      <c r="F583" s="7" t="s">
        <v>77</v>
      </c>
      <c r="G583" s="7"/>
      <c r="H583" s="7" t="s">
        <v>94</v>
      </c>
      <c r="I583" s="7"/>
      <c r="J583" s="7" t="s">
        <v>1259</v>
      </c>
      <c r="K583" s="7" t="s">
        <v>1260</v>
      </c>
      <c r="L583" s="7" t="s">
        <v>81</v>
      </c>
      <c r="M583" s="8" t="str">
        <f t="shared" si="18"/>
        <v>U</v>
      </c>
      <c r="N583" s="8" t="str">
        <f t="shared" si="19"/>
        <v>Complete</v>
      </c>
    </row>
    <row r="584" spans="1:14" ht="27" customHeight="1">
      <c r="A584" s="6">
        <v>583</v>
      </c>
      <c r="B584" s="6" t="s">
        <v>1255</v>
      </c>
      <c r="C584" s="6" t="s">
        <v>1256</v>
      </c>
      <c r="D584" s="6" t="s">
        <v>86</v>
      </c>
      <c r="E584" s="6" t="s">
        <v>87</v>
      </c>
      <c r="F584" s="7" t="s">
        <v>77</v>
      </c>
      <c r="G584" s="7"/>
      <c r="H584" s="7" t="s">
        <v>78</v>
      </c>
      <c r="I584" s="7"/>
      <c r="J584" s="7" t="s">
        <v>1261</v>
      </c>
      <c r="K584" s="7" t="s">
        <v>1262</v>
      </c>
      <c r="L584" s="7" t="s">
        <v>111</v>
      </c>
      <c r="M584" s="8" t="str">
        <f t="shared" si="18"/>
        <v>D</v>
      </c>
      <c r="N584" s="8" t="str">
        <f t="shared" si="19"/>
        <v>Complete</v>
      </c>
    </row>
    <row r="585" spans="1:14" ht="27" customHeight="1">
      <c r="A585" s="6">
        <v>584</v>
      </c>
      <c r="B585" s="6" t="s">
        <v>1255</v>
      </c>
      <c r="C585" s="6" t="s">
        <v>1256</v>
      </c>
      <c r="D585" s="6" t="s">
        <v>92</v>
      </c>
      <c r="E585" s="6" t="s">
        <v>93</v>
      </c>
      <c r="F585" s="7" t="s">
        <v>77</v>
      </c>
      <c r="G585" s="7"/>
      <c r="H585" s="7" t="s">
        <v>94</v>
      </c>
      <c r="I585" s="7"/>
      <c r="J585" s="7" t="s">
        <v>1263</v>
      </c>
      <c r="K585" s="7" t="s">
        <v>1264</v>
      </c>
      <c r="L585" s="7" t="s">
        <v>81</v>
      </c>
      <c r="M585" s="8" t="str">
        <f t="shared" si="18"/>
        <v>U</v>
      </c>
      <c r="N585" s="8" t="str">
        <f t="shared" si="19"/>
        <v>Complete</v>
      </c>
    </row>
    <row r="586" spans="1:14" ht="40.5" customHeight="1">
      <c r="A586" s="6">
        <v>585</v>
      </c>
      <c r="B586" s="6" t="s">
        <v>1255</v>
      </c>
      <c r="C586" s="6" t="s">
        <v>1256</v>
      </c>
      <c r="D586" s="6" t="s">
        <v>97</v>
      </c>
      <c r="E586" s="6" t="s">
        <v>98</v>
      </c>
      <c r="F586" s="7" t="s">
        <v>103</v>
      </c>
      <c r="G586" s="7" t="s">
        <v>104</v>
      </c>
      <c r="H586" s="7"/>
      <c r="I586" s="7"/>
      <c r="J586" s="7" t="s">
        <v>1265</v>
      </c>
      <c r="K586" s="7" t="s">
        <v>1266</v>
      </c>
      <c r="L586" s="7" t="s">
        <v>81</v>
      </c>
      <c r="M586" s="8" t="str">
        <f t="shared" si="18"/>
        <v>NA</v>
      </c>
      <c r="N586" s="8" t="str">
        <f t="shared" si="19"/>
        <v>Complete</v>
      </c>
    </row>
    <row r="587" spans="1:14" ht="40.5" customHeight="1">
      <c r="A587" s="6">
        <v>586</v>
      </c>
      <c r="B587" s="6" t="s">
        <v>1255</v>
      </c>
      <c r="C587" s="6" t="s">
        <v>1256</v>
      </c>
      <c r="D587" s="6" t="s">
        <v>101</v>
      </c>
      <c r="E587" s="6" t="s">
        <v>102</v>
      </c>
      <c r="F587" s="7" t="s">
        <v>103</v>
      </c>
      <c r="G587" s="7" t="s">
        <v>104</v>
      </c>
      <c r="H587" s="7"/>
      <c r="I587" s="7"/>
      <c r="J587" s="7" t="s">
        <v>1267</v>
      </c>
      <c r="K587" s="7" t="s">
        <v>1268</v>
      </c>
      <c r="L587" s="7" t="s">
        <v>81</v>
      </c>
      <c r="M587" s="8" t="str">
        <f t="shared" si="18"/>
        <v>NA</v>
      </c>
      <c r="N587" s="8" t="str">
        <f t="shared" si="19"/>
        <v>Complete</v>
      </c>
    </row>
    <row r="588" spans="1:14" ht="40.5" customHeight="1">
      <c r="A588" s="6">
        <v>587</v>
      </c>
      <c r="B588" s="6" t="s">
        <v>1255</v>
      </c>
      <c r="C588" s="6" t="s">
        <v>1256</v>
      </c>
      <c r="D588" s="6" t="s">
        <v>107</v>
      </c>
      <c r="E588" s="6" t="s">
        <v>108</v>
      </c>
      <c r="F588" s="7" t="s">
        <v>103</v>
      </c>
      <c r="G588" s="7" t="s">
        <v>104</v>
      </c>
      <c r="H588" s="7"/>
      <c r="I588" s="7"/>
      <c r="J588" s="7" t="s">
        <v>1269</v>
      </c>
      <c r="K588" s="7" t="s">
        <v>505</v>
      </c>
      <c r="L588" s="7" t="s">
        <v>81</v>
      </c>
      <c r="M588" s="8" t="str">
        <f t="shared" si="18"/>
        <v>NA</v>
      </c>
      <c r="N588" s="8" t="str">
        <f t="shared" si="19"/>
        <v>Complete</v>
      </c>
    </row>
    <row r="589" spans="1:14" ht="40.5" customHeight="1">
      <c r="A589" s="6">
        <v>588</v>
      </c>
      <c r="B589" s="6" t="s">
        <v>1255</v>
      </c>
      <c r="C589" s="6" t="s">
        <v>1256</v>
      </c>
      <c r="D589" s="6" t="s">
        <v>112</v>
      </c>
      <c r="E589" s="6" t="s">
        <v>113</v>
      </c>
      <c r="F589" s="7" t="s">
        <v>103</v>
      </c>
      <c r="G589" s="7" t="s">
        <v>114</v>
      </c>
      <c r="H589" s="7"/>
      <c r="I589" s="7"/>
      <c r="J589" s="7" t="s">
        <v>1270</v>
      </c>
      <c r="K589" s="7" t="s">
        <v>184</v>
      </c>
      <c r="L589" s="7" t="s">
        <v>132</v>
      </c>
      <c r="M589" s="8" t="str">
        <f t="shared" si="18"/>
        <v>NA</v>
      </c>
      <c r="N589" s="8" t="str">
        <f t="shared" si="19"/>
        <v>Complete</v>
      </c>
    </row>
    <row r="590" spans="1:14" ht="40.5" customHeight="1">
      <c r="A590" s="6">
        <v>589</v>
      </c>
      <c r="B590" s="6" t="s">
        <v>1255</v>
      </c>
      <c r="C590" s="6" t="s">
        <v>1256</v>
      </c>
      <c r="D590" s="6" t="s">
        <v>117</v>
      </c>
      <c r="E590" s="6" t="s">
        <v>118</v>
      </c>
      <c r="F590" s="7" t="s">
        <v>103</v>
      </c>
      <c r="G590" s="7" t="s">
        <v>104</v>
      </c>
      <c r="H590" s="7"/>
      <c r="I590" s="7"/>
      <c r="J590" s="7" t="s">
        <v>1269</v>
      </c>
      <c r="K590" s="7" t="s">
        <v>1271</v>
      </c>
      <c r="L590" s="7" t="s">
        <v>81</v>
      </c>
      <c r="M590" s="8" t="str">
        <f t="shared" si="18"/>
        <v>NA</v>
      </c>
      <c r="N590" s="8" t="str">
        <f t="shared" si="19"/>
        <v>Complete</v>
      </c>
    </row>
    <row r="591" spans="1:14" ht="27" customHeight="1">
      <c r="A591" s="6">
        <v>590</v>
      </c>
      <c r="B591" s="6" t="s">
        <v>1255</v>
      </c>
      <c r="C591" s="6" t="s">
        <v>1256</v>
      </c>
      <c r="D591" s="6" t="s">
        <v>122</v>
      </c>
      <c r="E591" s="6" t="s">
        <v>123</v>
      </c>
      <c r="F591" s="7" t="s">
        <v>77</v>
      </c>
      <c r="G591" s="7"/>
      <c r="H591" s="7" t="s">
        <v>78</v>
      </c>
      <c r="I591" s="7"/>
      <c r="J591" s="7" t="s">
        <v>1272</v>
      </c>
      <c r="K591" s="7" t="s">
        <v>1273</v>
      </c>
      <c r="L591" s="7" t="s">
        <v>111</v>
      </c>
      <c r="M591" s="8" t="str">
        <f t="shared" si="18"/>
        <v>D</v>
      </c>
      <c r="N591" s="8" t="str">
        <f t="shared" si="19"/>
        <v>Complete</v>
      </c>
    </row>
    <row r="592" spans="1:14" ht="27" customHeight="1">
      <c r="A592" s="6">
        <v>591</v>
      </c>
      <c r="B592" s="6" t="s">
        <v>1274</v>
      </c>
      <c r="C592" s="6" t="s">
        <v>1275</v>
      </c>
      <c r="D592" s="6" t="s">
        <v>75</v>
      </c>
      <c r="E592" s="6" t="s">
        <v>76</v>
      </c>
      <c r="F592" s="7" t="s">
        <v>77</v>
      </c>
      <c r="G592" s="7"/>
      <c r="H592" s="7" t="s">
        <v>78</v>
      </c>
      <c r="I592" s="7"/>
      <c r="J592" s="7" t="s">
        <v>1276</v>
      </c>
      <c r="K592" s="7" t="s">
        <v>1277</v>
      </c>
      <c r="L592" s="7" t="s">
        <v>81</v>
      </c>
      <c r="M592" s="8" t="str">
        <f t="shared" si="18"/>
        <v>D</v>
      </c>
      <c r="N592" s="8" t="str">
        <f t="shared" si="19"/>
        <v>Complete</v>
      </c>
    </row>
    <row r="593" spans="1:14" ht="27" customHeight="1">
      <c r="A593" s="6">
        <v>592</v>
      </c>
      <c r="B593" s="6" t="s">
        <v>1274</v>
      </c>
      <c r="C593" s="6" t="s">
        <v>1275</v>
      </c>
      <c r="D593" s="6" t="s">
        <v>82</v>
      </c>
      <c r="E593" s="6" t="s">
        <v>83</v>
      </c>
      <c r="F593" s="7" t="s">
        <v>77</v>
      </c>
      <c r="G593" s="7"/>
      <c r="H593" s="7" t="s">
        <v>94</v>
      </c>
      <c r="I593" s="7"/>
      <c r="J593" s="7" t="s">
        <v>1278</v>
      </c>
      <c r="K593" s="7" t="s">
        <v>1279</v>
      </c>
      <c r="L593" s="7" t="s">
        <v>111</v>
      </c>
      <c r="M593" s="8" t="str">
        <f t="shared" si="18"/>
        <v>U</v>
      </c>
      <c r="N593" s="8" t="str">
        <f t="shared" si="19"/>
        <v>Complete</v>
      </c>
    </row>
    <row r="594" spans="1:14" ht="27" customHeight="1">
      <c r="A594" s="6">
        <v>593</v>
      </c>
      <c r="B594" s="6" t="s">
        <v>1274</v>
      </c>
      <c r="C594" s="6" t="s">
        <v>1275</v>
      </c>
      <c r="D594" s="6" t="s">
        <v>86</v>
      </c>
      <c r="E594" s="6" t="s">
        <v>87</v>
      </c>
      <c r="F594" s="7" t="s">
        <v>77</v>
      </c>
      <c r="G594" s="7"/>
      <c r="H594" s="7" t="s">
        <v>78</v>
      </c>
      <c r="I594" s="7"/>
      <c r="J594" s="7" t="s">
        <v>1280</v>
      </c>
      <c r="K594" s="7" t="s">
        <v>1281</v>
      </c>
      <c r="L594" s="7" t="s">
        <v>81</v>
      </c>
      <c r="M594" s="8" t="str">
        <f t="shared" si="18"/>
        <v>D</v>
      </c>
      <c r="N594" s="8" t="str">
        <f t="shared" si="19"/>
        <v>Complete</v>
      </c>
    </row>
    <row r="595" spans="1:14" ht="27" customHeight="1">
      <c r="A595" s="6">
        <v>594</v>
      </c>
      <c r="B595" s="6" t="s">
        <v>1274</v>
      </c>
      <c r="C595" s="6" t="s">
        <v>1275</v>
      </c>
      <c r="D595" s="6" t="s">
        <v>92</v>
      </c>
      <c r="E595" s="6" t="s">
        <v>93</v>
      </c>
      <c r="F595" s="7" t="s">
        <v>77</v>
      </c>
      <c r="G595" s="7"/>
      <c r="H595" s="7" t="s">
        <v>94</v>
      </c>
      <c r="I595" s="7"/>
      <c r="J595" s="7" t="s">
        <v>1280</v>
      </c>
      <c r="K595" s="7" t="s">
        <v>1282</v>
      </c>
      <c r="L595" s="7" t="s">
        <v>81</v>
      </c>
      <c r="M595" s="8" t="str">
        <f t="shared" si="18"/>
        <v>U</v>
      </c>
      <c r="N595" s="8" t="str">
        <f t="shared" si="19"/>
        <v>Complete</v>
      </c>
    </row>
    <row r="596" spans="1:14" ht="40.5" customHeight="1">
      <c r="A596" s="6">
        <v>595</v>
      </c>
      <c r="B596" s="6" t="s">
        <v>1274</v>
      </c>
      <c r="C596" s="6" t="s">
        <v>1275</v>
      </c>
      <c r="D596" s="6" t="s">
        <v>97</v>
      </c>
      <c r="E596" s="6" t="s">
        <v>98</v>
      </c>
      <c r="F596" s="7" t="s">
        <v>103</v>
      </c>
      <c r="G596" s="7" t="s">
        <v>104</v>
      </c>
      <c r="H596" s="7"/>
      <c r="I596" s="7"/>
      <c r="J596" s="7" t="s">
        <v>1283</v>
      </c>
      <c r="K596" s="7" t="s">
        <v>1284</v>
      </c>
      <c r="L596" s="7" t="s">
        <v>81</v>
      </c>
      <c r="M596" s="8" t="str">
        <f t="shared" si="18"/>
        <v>NA</v>
      </c>
      <c r="N596" s="8" t="str">
        <f t="shared" si="19"/>
        <v>Complete</v>
      </c>
    </row>
    <row r="597" spans="1:14" ht="40.5" customHeight="1">
      <c r="A597" s="6">
        <v>596</v>
      </c>
      <c r="B597" s="6" t="s">
        <v>1274</v>
      </c>
      <c r="C597" s="6" t="s">
        <v>1275</v>
      </c>
      <c r="D597" s="6" t="s">
        <v>101</v>
      </c>
      <c r="E597" s="6" t="s">
        <v>102</v>
      </c>
      <c r="F597" s="7" t="s">
        <v>103</v>
      </c>
      <c r="G597" s="7" t="s">
        <v>104</v>
      </c>
      <c r="H597" s="7"/>
      <c r="I597" s="7"/>
      <c r="J597" s="7" t="s">
        <v>1285</v>
      </c>
      <c r="K597" s="7" t="s">
        <v>991</v>
      </c>
      <c r="L597" s="7" t="s">
        <v>81</v>
      </c>
      <c r="M597" s="8" t="str">
        <f t="shared" si="18"/>
        <v>NA</v>
      </c>
      <c r="N597" s="8" t="str">
        <f t="shared" si="19"/>
        <v>Complete</v>
      </c>
    </row>
    <row r="598" spans="1:14" ht="27" customHeight="1">
      <c r="A598" s="6">
        <v>597</v>
      </c>
      <c r="B598" s="6" t="s">
        <v>1274</v>
      </c>
      <c r="C598" s="6" t="s">
        <v>1275</v>
      </c>
      <c r="D598" s="6" t="s">
        <v>107</v>
      </c>
      <c r="E598" s="6" t="s">
        <v>108</v>
      </c>
      <c r="F598" s="7" t="s">
        <v>77</v>
      </c>
      <c r="G598" s="7"/>
      <c r="H598" s="7" t="s">
        <v>78</v>
      </c>
      <c r="I598" s="7"/>
      <c r="J598" s="7" t="s">
        <v>1286</v>
      </c>
      <c r="K598" s="7" t="s">
        <v>1287</v>
      </c>
      <c r="L598" s="7" t="s">
        <v>81</v>
      </c>
      <c r="M598" s="8" t="str">
        <f t="shared" si="18"/>
        <v>D</v>
      </c>
      <c r="N598" s="8" t="str">
        <f t="shared" si="19"/>
        <v>Complete</v>
      </c>
    </row>
    <row r="599" spans="1:14" ht="40.5" customHeight="1">
      <c r="A599" s="6">
        <v>598</v>
      </c>
      <c r="B599" s="6" t="s">
        <v>1274</v>
      </c>
      <c r="C599" s="6" t="s">
        <v>1275</v>
      </c>
      <c r="D599" s="6" t="s">
        <v>112</v>
      </c>
      <c r="E599" s="6" t="s">
        <v>113</v>
      </c>
      <c r="F599" s="7" t="s">
        <v>103</v>
      </c>
      <c r="G599" s="7" t="s">
        <v>114</v>
      </c>
      <c r="H599" s="7"/>
      <c r="I599" s="7"/>
      <c r="J599" s="7" t="s">
        <v>1288</v>
      </c>
      <c r="K599" s="7" t="s">
        <v>1289</v>
      </c>
      <c r="L599" s="7" t="s">
        <v>132</v>
      </c>
      <c r="M599" s="8" t="str">
        <f t="shared" si="18"/>
        <v>NA</v>
      </c>
      <c r="N599" s="8" t="str">
        <f t="shared" si="19"/>
        <v>Complete</v>
      </c>
    </row>
    <row r="600" spans="1:14" ht="40.5" customHeight="1">
      <c r="A600" s="6">
        <v>599</v>
      </c>
      <c r="B600" s="6" t="s">
        <v>1274</v>
      </c>
      <c r="C600" s="6" t="s">
        <v>1275</v>
      </c>
      <c r="D600" s="6" t="s">
        <v>117</v>
      </c>
      <c r="E600" s="6" t="s">
        <v>118</v>
      </c>
      <c r="F600" s="7" t="s">
        <v>103</v>
      </c>
      <c r="G600" s="7" t="s">
        <v>104</v>
      </c>
      <c r="H600" s="7"/>
      <c r="I600" s="7"/>
      <c r="J600" s="7" t="s">
        <v>1290</v>
      </c>
      <c r="K600" s="7" t="s">
        <v>1271</v>
      </c>
      <c r="L600" s="7" t="s">
        <v>81</v>
      </c>
      <c r="M600" s="8" t="str">
        <f t="shared" si="18"/>
        <v>NA</v>
      </c>
      <c r="N600" s="8" t="str">
        <f t="shared" si="19"/>
        <v>Complete</v>
      </c>
    </row>
    <row r="601" spans="1:14" ht="40.5" customHeight="1">
      <c r="A601" s="6">
        <v>600</v>
      </c>
      <c r="B601" s="6" t="s">
        <v>1274</v>
      </c>
      <c r="C601" s="6" t="s">
        <v>1275</v>
      </c>
      <c r="D601" s="6" t="s">
        <v>122</v>
      </c>
      <c r="E601" s="6" t="s">
        <v>123</v>
      </c>
      <c r="F601" s="7" t="s">
        <v>77</v>
      </c>
      <c r="G601" s="7"/>
      <c r="H601" s="7" t="s">
        <v>78</v>
      </c>
      <c r="I601" s="7"/>
      <c r="J601" s="7" t="s">
        <v>1280</v>
      </c>
      <c r="K601" s="7" t="s">
        <v>1291</v>
      </c>
      <c r="L601" s="7" t="s">
        <v>111</v>
      </c>
      <c r="M601" s="8" t="str">
        <f t="shared" si="18"/>
        <v>D</v>
      </c>
      <c r="N601" s="8" t="str">
        <f t="shared" si="19"/>
        <v>Complete</v>
      </c>
    </row>
    <row r="602" spans="1:14" ht="27" customHeight="1">
      <c r="A602" s="6">
        <v>601</v>
      </c>
      <c r="B602" s="6" t="s">
        <v>1292</v>
      </c>
      <c r="C602" s="6" t="s">
        <v>1293</v>
      </c>
      <c r="D602" s="6" t="s">
        <v>75</v>
      </c>
      <c r="E602" s="6" t="s">
        <v>76</v>
      </c>
      <c r="F602" s="7" t="s">
        <v>77</v>
      </c>
      <c r="G602" s="7"/>
      <c r="H602" s="7" t="s">
        <v>78</v>
      </c>
      <c r="I602" s="7"/>
      <c r="J602" s="7" t="s">
        <v>1294</v>
      </c>
      <c r="K602" s="7" t="s">
        <v>1295</v>
      </c>
      <c r="L602" s="7" t="s">
        <v>81</v>
      </c>
      <c r="M602" s="8" t="str">
        <f t="shared" si="18"/>
        <v>D</v>
      </c>
      <c r="N602" s="8" t="str">
        <f t="shared" si="19"/>
        <v>Complete</v>
      </c>
    </row>
    <row r="603" spans="1:14" ht="40.5" customHeight="1">
      <c r="A603" s="6">
        <v>602</v>
      </c>
      <c r="B603" s="6" t="s">
        <v>1292</v>
      </c>
      <c r="C603" s="6" t="s">
        <v>1293</v>
      </c>
      <c r="D603" s="6" t="s">
        <v>82</v>
      </c>
      <c r="E603" s="6" t="s">
        <v>83</v>
      </c>
      <c r="F603" s="7" t="s">
        <v>77</v>
      </c>
      <c r="G603" s="7"/>
      <c r="H603" s="7" t="s">
        <v>88</v>
      </c>
      <c r="I603" s="7" t="s">
        <v>89</v>
      </c>
      <c r="J603" s="7" t="s">
        <v>1296</v>
      </c>
      <c r="K603" s="7" t="s">
        <v>1297</v>
      </c>
      <c r="L603" s="7" t="s">
        <v>81</v>
      </c>
      <c r="M603" s="8" t="str">
        <f t="shared" si="18"/>
        <v>R</v>
      </c>
      <c r="N603" s="8" t="str">
        <f t="shared" si="19"/>
        <v>Complete</v>
      </c>
    </row>
    <row r="604" spans="1:14" ht="27" customHeight="1">
      <c r="A604" s="6">
        <v>603</v>
      </c>
      <c r="B604" s="6" t="s">
        <v>1292</v>
      </c>
      <c r="C604" s="6" t="s">
        <v>1293</v>
      </c>
      <c r="D604" s="6" t="s">
        <v>86</v>
      </c>
      <c r="E604" s="6" t="s">
        <v>87</v>
      </c>
      <c r="F604" s="7" t="s">
        <v>77</v>
      </c>
      <c r="G604" s="7"/>
      <c r="H604" s="7" t="s">
        <v>94</v>
      </c>
      <c r="I604" s="7"/>
      <c r="J604" s="7" t="s">
        <v>1298</v>
      </c>
      <c r="K604" s="7" t="s">
        <v>1299</v>
      </c>
      <c r="L604" s="7" t="s">
        <v>111</v>
      </c>
      <c r="M604" s="8" t="str">
        <f t="shared" si="18"/>
        <v>U</v>
      </c>
      <c r="N604" s="8" t="str">
        <f t="shared" si="19"/>
        <v>Complete</v>
      </c>
    </row>
    <row r="605" spans="1:14" ht="40.5" customHeight="1">
      <c r="A605" s="6">
        <v>604</v>
      </c>
      <c r="B605" s="6" t="s">
        <v>1292</v>
      </c>
      <c r="C605" s="6" t="s">
        <v>1293</v>
      </c>
      <c r="D605" s="6" t="s">
        <v>92</v>
      </c>
      <c r="E605" s="6" t="s">
        <v>93</v>
      </c>
      <c r="F605" s="7" t="s">
        <v>77</v>
      </c>
      <c r="G605" s="7"/>
      <c r="H605" s="7" t="s">
        <v>78</v>
      </c>
      <c r="I605" s="7"/>
      <c r="J605" s="7" t="s">
        <v>1300</v>
      </c>
      <c r="K605" s="7" t="s">
        <v>1301</v>
      </c>
      <c r="L605" s="7" t="s">
        <v>81</v>
      </c>
      <c r="M605" s="8" t="str">
        <f t="shared" si="18"/>
        <v>D</v>
      </c>
      <c r="N605" s="8" t="str">
        <f t="shared" si="19"/>
        <v>Complete</v>
      </c>
    </row>
    <row r="606" spans="1:14" ht="40.5" customHeight="1">
      <c r="A606" s="6">
        <v>605</v>
      </c>
      <c r="B606" s="6" t="s">
        <v>1292</v>
      </c>
      <c r="C606" s="6" t="s">
        <v>1293</v>
      </c>
      <c r="D606" s="6" t="s">
        <v>97</v>
      </c>
      <c r="E606" s="6" t="s">
        <v>98</v>
      </c>
      <c r="F606" s="7" t="s">
        <v>77</v>
      </c>
      <c r="G606" s="7"/>
      <c r="H606" s="7" t="s">
        <v>94</v>
      </c>
      <c r="I606" s="7"/>
      <c r="J606" s="7" t="s">
        <v>1302</v>
      </c>
      <c r="K606" s="7" t="s">
        <v>1303</v>
      </c>
      <c r="L606" s="7" t="s">
        <v>81</v>
      </c>
      <c r="M606" s="8" t="str">
        <f t="shared" si="18"/>
        <v>U</v>
      </c>
      <c r="N606" s="8" t="str">
        <f t="shared" si="19"/>
        <v>Complete</v>
      </c>
    </row>
    <row r="607" spans="1:14" ht="27" customHeight="1">
      <c r="A607" s="6">
        <v>606</v>
      </c>
      <c r="B607" s="6" t="s">
        <v>1292</v>
      </c>
      <c r="C607" s="6" t="s">
        <v>1293</v>
      </c>
      <c r="D607" s="6" t="s">
        <v>101</v>
      </c>
      <c r="E607" s="6" t="s">
        <v>102</v>
      </c>
      <c r="F607" s="7" t="s">
        <v>77</v>
      </c>
      <c r="G607" s="7"/>
      <c r="H607" s="7" t="s">
        <v>94</v>
      </c>
      <c r="I607" s="7"/>
      <c r="J607" s="7" t="s">
        <v>1304</v>
      </c>
      <c r="K607" s="7" t="s">
        <v>1305</v>
      </c>
      <c r="L607" s="7" t="s">
        <v>111</v>
      </c>
      <c r="M607" s="8" t="str">
        <f t="shared" si="18"/>
        <v>U</v>
      </c>
      <c r="N607" s="8" t="str">
        <f t="shared" si="19"/>
        <v>Complete</v>
      </c>
    </row>
    <row r="608" spans="1:14" ht="27" customHeight="1">
      <c r="A608" s="6">
        <v>607</v>
      </c>
      <c r="B608" s="6" t="s">
        <v>1292</v>
      </c>
      <c r="C608" s="6" t="s">
        <v>1293</v>
      </c>
      <c r="D608" s="6" t="s">
        <v>107</v>
      </c>
      <c r="E608" s="6" t="s">
        <v>108</v>
      </c>
      <c r="F608" s="7" t="s">
        <v>77</v>
      </c>
      <c r="G608" s="7"/>
      <c r="H608" s="7" t="s">
        <v>94</v>
      </c>
      <c r="I608" s="7"/>
      <c r="J608" s="7" t="s">
        <v>1306</v>
      </c>
      <c r="K608" s="7" t="s">
        <v>1307</v>
      </c>
      <c r="L608" s="7" t="s">
        <v>81</v>
      </c>
      <c r="M608" s="8" t="str">
        <f t="shared" si="18"/>
        <v>U</v>
      </c>
      <c r="N608" s="8" t="str">
        <f t="shared" si="19"/>
        <v>Complete</v>
      </c>
    </row>
    <row r="609" spans="1:14" ht="40.5" customHeight="1">
      <c r="A609" s="6">
        <v>608</v>
      </c>
      <c r="B609" s="6" t="s">
        <v>1292</v>
      </c>
      <c r="C609" s="6" t="s">
        <v>1293</v>
      </c>
      <c r="D609" s="6" t="s">
        <v>112</v>
      </c>
      <c r="E609" s="6" t="s">
        <v>113</v>
      </c>
      <c r="F609" s="7" t="s">
        <v>103</v>
      </c>
      <c r="G609" s="7" t="s">
        <v>114</v>
      </c>
      <c r="H609" s="7"/>
      <c r="I609" s="7"/>
      <c r="J609" s="7" t="s">
        <v>1308</v>
      </c>
      <c r="K609" s="7" t="s">
        <v>1309</v>
      </c>
      <c r="L609" s="7" t="s">
        <v>132</v>
      </c>
      <c r="M609" s="8" t="str">
        <f t="shared" si="18"/>
        <v>NA</v>
      </c>
      <c r="N609" s="8" t="str">
        <f t="shared" si="19"/>
        <v>Complete</v>
      </c>
    </row>
    <row r="610" spans="1:14" ht="27" customHeight="1">
      <c r="A610" s="6">
        <v>609</v>
      </c>
      <c r="B610" s="6" t="s">
        <v>1292</v>
      </c>
      <c r="C610" s="6" t="s">
        <v>1293</v>
      </c>
      <c r="D610" s="6" t="s">
        <v>117</v>
      </c>
      <c r="E610" s="6" t="s">
        <v>118</v>
      </c>
      <c r="F610" s="7" t="s">
        <v>103</v>
      </c>
      <c r="G610" s="7" t="s">
        <v>104</v>
      </c>
      <c r="H610" s="7"/>
      <c r="I610" s="7"/>
      <c r="J610" s="7" t="s">
        <v>1310</v>
      </c>
      <c r="K610" s="7" t="s">
        <v>1311</v>
      </c>
      <c r="L610" s="7" t="s">
        <v>111</v>
      </c>
      <c r="M610" s="8" t="str">
        <f t="shared" si="18"/>
        <v>NA</v>
      </c>
      <c r="N610" s="8" t="str">
        <f t="shared" si="19"/>
        <v>Complete</v>
      </c>
    </row>
    <row r="611" spans="1:14" ht="27" customHeight="1">
      <c r="A611" s="6">
        <v>610</v>
      </c>
      <c r="B611" s="6" t="s">
        <v>1292</v>
      </c>
      <c r="C611" s="6" t="s">
        <v>1293</v>
      </c>
      <c r="D611" s="6" t="s">
        <v>122</v>
      </c>
      <c r="E611" s="6" t="s">
        <v>123</v>
      </c>
      <c r="F611" s="7" t="s">
        <v>77</v>
      </c>
      <c r="G611" s="7"/>
      <c r="H611" s="7" t="s">
        <v>94</v>
      </c>
      <c r="I611" s="7"/>
      <c r="J611" s="7" t="s">
        <v>1312</v>
      </c>
      <c r="K611" s="7" t="s">
        <v>1313</v>
      </c>
      <c r="L611" s="7" t="s">
        <v>81</v>
      </c>
      <c r="M611" s="8" t="str">
        <f t="shared" si="18"/>
        <v>U</v>
      </c>
      <c r="N611" s="8" t="str">
        <f t="shared" si="19"/>
        <v>Complete</v>
      </c>
    </row>
    <row r="612" spans="1:14" ht="27" customHeight="1">
      <c r="A612" s="6">
        <v>611</v>
      </c>
      <c r="B612" s="6" t="s">
        <v>1314</v>
      </c>
      <c r="C612" s="6" t="s">
        <v>1315</v>
      </c>
      <c r="D612" s="6" t="s">
        <v>75</v>
      </c>
      <c r="E612" s="6" t="s">
        <v>76</v>
      </c>
      <c r="F612" s="7" t="s">
        <v>77</v>
      </c>
      <c r="G612" s="7"/>
      <c r="H612" s="7" t="s">
        <v>78</v>
      </c>
      <c r="I612" s="7"/>
      <c r="J612" s="7" t="s">
        <v>1316</v>
      </c>
      <c r="K612" s="7" t="s">
        <v>1317</v>
      </c>
      <c r="L612" s="7" t="s">
        <v>81</v>
      </c>
      <c r="M612" s="8" t="str">
        <f t="shared" si="18"/>
        <v>D</v>
      </c>
      <c r="N612" s="8" t="str">
        <f t="shared" si="19"/>
        <v>Complete</v>
      </c>
    </row>
    <row r="613" spans="1:14" ht="40.5" customHeight="1">
      <c r="A613" s="6">
        <v>612</v>
      </c>
      <c r="B613" s="6" t="s">
        <v>1314</v>
      </c>
      <c r="C613" s="6" t="s">
        <v>1315</v>
      </c>
      <c r="D613" s="6" t="s">
        <v>82</v>
      </c>
      <c r="E613" s="6" t="s">
        <v>83</v>
      </c>
      <c r="F613" s="7" t="s">
        <v>77</v>
      </c>
      <c r="G613" s="7"/>
      <c r="H613" s="7" t="s">
        <v>88</v>
      </c>
      <c r="I613" s="7" t="s">
        <v>89</v>
      </c>
      <c r="J613" s="7" t="s">
        <v>1318</v>
      </c>
      <c r="K613" s="7" t="s">
        <v>1319</v>
      </c>
      <c r="L613" s="7" t="s">
        <v>81</v>
      </c>
      <c r="M613" s="8" t="str">
        <f t="shared" si="18"/>
        <v>R</v>
      </c>
      <c r="N613" s="8" t="str">
        <f t="shared" si="19"/>
        <v>Complete</v>
      </c>
    </row>
    <row r="614" spans="1:14" ht="40.5" customHeight="1">
      <c r="A614" s="6">
        <v>613</v>
      </c>
      <c r="B614" s="6" t="s">
        <v>1314</v>
      </c>
      <c r="C614" s="6" t="s">
        <v>1315</v>
      </c>
      <c r="D614" s="6" t="s">
        <v>86</v>
      </c>
      <c r="E614" s="6" t="s">
        <v>87</v>
      </c>
      <c r="F614" s="7" t="s">
        <v>77</v>
      </c>
      <c r="G614" s="7"/>
      <c r="H614" s="7" t="s">
        <v>94</v>
      </c>
      <c r="I614" s="7"/>
      <c r="J614" s="7" t="s">
        <v>1320</v>
      </c>
      <c r="K614" s="7" t="s">
        <v>1321</v>
      </c>
      <c r="L614" s="7" t="s">
        <v>81</v>
      </c>
      <c r="M614" s="8" t="str">
        <f t="shared" si="18"/>
        <v>U</v>
      </c>
      <c r="N614" s="8" t="str">
        <f t="shared" si="19"/>
        <v>Complete</v>
      </c>
    </row>
    <row r="615" spans="1:14" ht="27" customHeight="1">
      <c r="A615" s="6">
        <v>614</v>
      </c>
      <c r="B615" s="6" t="s">
        <v>1314</v>
      </c>
      <c r="C615" s="6" t="s">
        <v>1315</v>
      </c>
      <c r="D615" s="6" t="s">
        <v>92</v>
      </c>
      <c r="E615" s="6" t="s">
        <v>93</v>
      </c>
      <c r="F615" s="7" t="s">
        <v>77</v>
      </c>
      <c r="G615" s="7"/>
      <c r="H615" s="7" t="s">
        <v>94</v>
      </c>
      <c r="I615" s="7"/>
      <c r="J615" s="7" t="s">
        <v>1322</v>
      </c>
      <c r="K615" s="7" t="s">
        <v>539</v>
      </c>
      <c r="L615" s="7" t="s">
        <v>81</v>
      </c>
      <c r="M615" s="8" t="str">
        <f t="shared" si="18"/>
        <v>U</v>
      </c>
      <c r="N615" s="8" t="str">
        <f t="shared" si="19"/>
        <v>Complete</v>
      </c>
    </row>
    <row r="616" spans="1:14" ht="27" customHeight="1">
      <c r="A616" s="6">
        <v>615</v>
      </c>
      <c r="B616" s="6" t="s">
        <v>1314</v>
      </c>
      <c r="C616" s="6" t="s">
        <v>1315</v>
      </c>
      <c r="D616" s="6" t="s">
        <v>97</v>
      </c>
      <c r="E616" s="6" t="s">
        <v>98</v>
      </c>
      <c r="F616" s="7" t="s">
        <v>77</v>
      </c>
      <c r="G616" s="7"/>
      <c r="H616" s="7" t="s">
        <v>94</v>
      </c>
      <c r="I616" s="7"/>
      <c r="J616" s="7" t="s">
        <v>1323</v>
      </c>
      <c r="K616" s="7" t="s">
        <v>1324</v>
      </c>
      <c r="L616" s="7" t="s">
        <v>81</v>
      </c>
      <c r="M616" s="8" t="str">
        <f t="shared" si="18"/>
        <v>U</v>
      </c>
      <c r="N616" s="8" t="str">
        <f t="shared" si="19"/>
        <v>Complete</v>
      </c>
    </row>
    <row r="617" spans="1:14" ht="40.5" customHeight="1">
      <c r="A617" s="6">
        <v>616</v>
      </c>
      <c r="B617" s="6" t="s">
        <v>1314</v>
      </c>
      <c r="C617" s="6" t="s">
        <v>1315</v>
      </c>
      <c r="D617" s="6" t="s">
        <v>101</v>
      </c>
      <c r="E617" s="6" t="s">
        <v>102</v>
      </c>
      <c r="F617" s="7" t="s">
        <v>103</v>
      </c>
      <c r="G617" s="7" t="s">
        <v>104</v>
      </c>
      <c r="H617" s="7"/>
      <c r="I617" s="7"/>
      <c r="J617" s="7" t="s">
        <v>1325</v>
      </c>
      <c r="K617" s="7" t="s">
        <v>407</v>
      </c>
      <c r="L617" s="7" t="s">
        <v>81</v>
      </c>
      <c r="M617" s="8" t="str">
        <f t="shared" si="18"/>
        <v>NA</v>
      </c>
      <c r="N617" s="8" t="str">
        <f t="shared" si="19"/>
        <v>Complete</v>
      </c>
    </row>
    <row r="618" spans="1:14" ht="40.5" customHeight="1">
      <c r="A618" s="6">
        <v>617</v>
      </c>
      <c r="B618" s="6" t="s">
        <v>1314</v>
      </c>
      <c r="C618" s="6" t="s">
        <v>1315</v>
      </c>
      <c r="D618" s="6" t="s">
        <v>107</v>
      </c>
      <c r="E618" s="6" t="s">
        <v>108</v>
      </c>
      <c r="F618" s="7" t="s">
        <v>103</v>
      </c>
      <c r="G618" s="7" t="s">
        <v>104</v>
      </c>
      <c r="H618" s="7"/>
      <c r="I618" s="7"/>
      <c r="J618" s="7" t="s">
        <v>1326</v>
      </c>
      <c r="K618" s="7" t="s">
        <v>505</v>
      </c>
      <c r="L618" s="7" t="s">
        <v>81</v>
      </c>
      <c r="M618" s="8" t="str">
        <f t="shared" si="18"/>
        <v>NA</v>
      </c>
      <c r="N618" s="8" t="str">
        <f t="shared" si="19"/>
        <v>Complete</v>
      </c>
    </row>
    <row r="619" spans="1:14" ht="40.5" customHeight="1">
      <c r="A619" s="6">
        <v>618</v>
      </c>
      <c r="B619" s="6" t="s">
        <v>1314</v>
      </c>
      <c r="C619" s="6" t="s">
        <v>1315</v>
      </c>
      <c r="D619" s="6" t="s">
        <v>112</v>
      </c>
      <c r="E619" s="6" t="s">
        <v>113</v>
      </c>
      <c r="F619" s="7" t="s">
        <v>103</v>
      </c>
      <c r="G619" s="7" t="s">
        <v>114</v>
      </c>
      <c r="H619" s="7"/>
      <c r="I619" s="7"/>
      <c r="J619" s="7" t="s">
        <v>1327</v>
      </c>
      <c r="K619" s="7" t="s">
        <v>184</v>
      </c>
      <c r="L619" s="7" t="s">
        <v>132</v>
      </c>
      <c r="M619" s="8" t="str">
        <f t="shared" si="18"/>
        <v>NA</v>
      </c>
      <c r="N619" s="8" t="str">
        <f t="shared" si="19"/>
        <v>Complete</v>
      </c>
    </row>
    <row r="620" spans="1:14" ht="40.5" customHeight="1">
      <c r="A620" s="6">
        <v>619</v>
      </c>
      <c r="B620" s="6" t="s">
        <v>1314</v>
      </c>
      <c r="C620" s="6" t="s">
        <v>1315</v>
      </c>
      <c r="D620" s="6" t="s">
        <v>117</v>
      </c>
      <c r="E620" s="6" t="s">
        <v>118</v>
      </c>
      <c r="F620" s="7" t="s">
        <v>103</v>
      </c>
      <c r="G620" s="7" t="s">
        <v>104</v>
      </c>
      <c r="H620" s="7"/>
      <c r="I620" s="7"/>
      <c r="J620" s="7" t="s">
        <v>1328</v>
      </c>
      <c r="K620" s="7" t="s">
        <v>1271</v>
      </c>
      <c r="L620" s="7" t="s">
        <v>81</v>
      </c>
      <c r="M620" s="8" t="str">
        <f t="shared" si="18"/>
        <v>NA</v>
      </c>
      <c r="N620" s="8" t="str">
        <f t="shared" si="19"/>
        <v>Complete</v>
      </c>
    </row>
    <row r="621" spans="1:14" ht="40.5" customHeight="1">
      <c r="A621" s="6">
        <v>620</v>
      </c>
      <c r="B621" s="6" t="s">
        <v>1314</v>
      </c>
      <c r="C621" s="6" t="s">
        <v>1315</v>
      </c>
      <c r="D621" s="6" t="s">
        <v>122</v>
      </c>
      <c r="E621" s="6" t="s">
        <v>123</v>
      </c>
      <c r="F621" s="7" t="s">
        <v>103</v>
      </c>
      <c r="G621" s="7" t="s">
        <v>104</v>
      </c>
      <c r="H621" s="7"/>
      <c r="I621" s="7"/>
      <c r="J621" s="7" t="s">
        <v>1329</v>
      </c>
      <c r="K621" s="7" t="s">
        <v>1330</v>
      </c>
      <c r="L621" s="7" t="s">
        <v>81</v>
      </c>
      <c r="M621" s="8" t="str">
        <f t="shared" si="18"/>
        <v>NA</v>
      </c>
      <c r="N621" s="8" t="str">
        <f t="shared" si="19"/>
        <v>Complete</v>
      </c>
    </row>
    <row r="622" spans="1:14" ht="27" customHeight="1">
      <c r="A622" s="6">
        <v>621</v>
      </c>
      <c r="B622" s="6" t="s">
        <v>1331</v>
      </c>
      <c r="C622" s="6" t="s">
        <v>1332</v>
      </c>
      <c r="D622" s="6" t="s">
        <v>75</v>
      </c>
      <c r="E622" s="6" t="s">
        <v>76</v>
      </c>
      <c r="F622" s="7" t="s">
        <v>77</v>
      </c>
      <c r="G622" s="7"/>
      <c r="H622" s="7" t="s">
        <v>78</v>
      </c>
      <c r="I622" s="7"/>
      <c r="J622" s="7" t="s">
        <v>1333</v>
      </c>
      <c r="K622" s="7" t="s">
        <v>1334</v>
      </c>
      <c r="L622" s="7" t="s">
        <v>81</v>
      </c>
      <c r="M622" s="8" t="str">
        <f t="shared" si="18"/>
        <v>D</v>
      </c>
      <c r="N622" s="8" t="str">
        <f t="shared" si="19"/>
        <v>Complete</v>
      </c>
    </row>
    <row r="623" spans="1:14" ht="27" customHeight="1">
      <c r="A623" s="6">
        <v>622</v>
      </c>
      <c r="B623" s="6" t="s">
        <v>1331</v>
      </c>
      <c r="C623" s="6" t="s">
        <v>1332</v>
      </c>
      <c r="D623" s="6" t="s">
        <v>82</v>
      </c>
      <c r="E623" s="6" t="s">
        <v>83</v>
      </c>
      <c r="F623" s="7" t="s">
        <v>77</v>
      </c>
      <c r="G623" s="7"/>
      <c r="H623" s="7" t="s">
        <v>88</v>
      </c>
      <c r="I623" s="7" t="s">
        <v>89</v>
      </c>
      <c r="J623" s="7" t="s">
        <v>1335</v>
      </c>
      <c r="K623" s="7" t="s">
        <v>1336</v>
      </c>
      <c r="L623" s="7" t="s">
        <v>81</v>
      </c>
      <c r="M623" s="8" t="str">
        <f t="shared" si="18"/>
        <v>R</v>
      </c>
      <c r="N623" s="8" t="str">
        <f t="shared" si="19"/>
        <v>Complete</v>
      </c>
    </row>
    <row r="624" spans="1:14" ht="27" customHeight="1">
      <c r="A624" s="6">
        <v>623</v>
      </c>
      <c r="B624" s="6" t="s">
        <v>1331</v>
      </c>
      <c r="C624" s="6" t="s">
        <v>1332</v>
      </c>
      <c r="D624" s="6" t="s">
        <v>86</v>
      </c>
      <c r="E624" s="6" t="s">
        <v>87</v>
      </c>
      <c r="F624" s="7" t="s">
        <v>77</v>
      </c>
      <c r="G624" s="7"/>
      <c r="H624" s="7" t="s">
        <v>88</v>
      </c>
      <c r="I624" s="7" t="s">
        <v>119</v>
      </c>
      <c r="J624" s="7" t="s">
        <v>1337</v>
      </c>
      <c r="K624" s="7" t="s">
        <v>1338</v>
      </c>
      <c r="L624" s="7" t="s">
        <v>111</v>
      </c>
      <c r="M624" s="8" t="str">
        <f t="shared" si="18"/>
        <v>R</v>
      </c>
      <c r="N624" s="8" t="str">
        <f t="shared" si="19"/>
        <v>Complete</v>
      </c>
    </row>
    <row r="625" spans="1:14" ht="27" customHeight="1">
      <c r="A625" s="6">
        <v>624</v>
      </c>
      <c r="B625" s="6" t="s">
        <v>1331</v>
      </c>
      <c r="C625" s="6" t="s">
        <v>1332</v>
      </c>
      <c r="D625" s="6" t="s">
        <v>92</v>
      </c>
      <c r="E625" s="6" t="s">
        <v>93</v>
      </c>
      <c r="F625" s="7" t="s">
        <v>77</v>
      </c>
      <c r="G625" s="7"/>
      <c r="H625" s="7" t="s">
        <v>88</v>
      </c>
      <c r="I625" s="7" t="s">
        <v>119</v>
      </c>
      <c r="J625" s="7" t="s">
        <v>1339</v>
      </c>
      <c r="K625" s="7" t="s">
        <v>1340</v>
      </c>
      <c r="L625" s="7" t="s">
        <v>111</v>
      </c>
      <c r="M625" s="8" t="str">
        <f t="shared" si="18"/>
        <v>R</v>
      </c>
      <c r="N625" s="8" t="str">
        <f t="shared" si="19"/>
        <v>Complete</v>
      </c>
    </row>
    <row r="626" spans="1:14" ht="27" customHeight="1">
      <c r="A626" s="6">
        <v>625</v>
      </c>
      <c r="B626" s="6" t="s">
        <v>1331</v>
      </c>
      <c r="C626" s="6" t="s">
        <v>1332</v>
      </c>
      <c r="D626" s="6" t="s">
        <v>97</v>
      </c>
      <c r="E626" s="6" t="s">
        <v>98</v>
      </c>
      <c r="F626" s="7" t="s">
        <v>77</v>
      </c>
      <c r="G626" s="7"/>
      <c r="H626" s="7" t="s">
        <v>94</v>
      </c>
      <c r="I626" s="7"/>
      <c r="J626" s="7" t="s">
        <v>1341</v>
      </c>
      <c r="K626" s="7" t="s">
        <v>1342</v>
      </c>
      <c r="L626" s="7" t="s">
        <v>81</v>
      </c>
      <c r="M626" s="8" t="str">
        <f t="shared" si="18"/>
        <v>U</v>
      </c>
      <c r="N626" s="8" t="str">
        <f t="shared" si="19"/>
        <v>Complete</v>
      </c>
    </row>
    <row r="627" spans="1:14" ht="40.5" customHeight="1">
      <c r="A627" s="6">
        <v>626</v>
      </c>
      <c r="B627" s="6" t="s">
        <v>1331</v>
      </c>
      <c r="C627" s="6" t="s">
        <v>1332</v>
      </c>
      <c r="D627" s="6" t="s">
        <v>101</v>
      </c>
      <c r="E627" s="6" t="s">
        <v>102</v>
      </c>
      <c r="F627" s="7" t="s">
        <v>103</v>
      </c>
      <c r="G627" s="7" t="s">
        <v>104</v>
      </c>
      <c r="H627" s="7"/>
      <c r="I627" s="7"/>
      <c r="J627" s="7" t="s">
        <v>1343</v>
      </c>
      <c r="K627" s="7" t="s">
        <v>407</v>
      </c>
      <c r="L627" s="7" t="s">
        <v>81</v>
      </c>
      <c r="M627" s="8" t="str">
        <f t="shared" si="18"/>
        <v>NA</v>
      </c>
      <c r="N627" s="8" t="str">
        <f t="shared" si="19"/>
        <v>Complete</v>
      </c>
    </row>
    <row r="628" spans="1:14" ht="40.5" customHeight="1">
      <c r="A628" s="6">
        <v>627</v>
      </c>
      <c r="B628" s="6" t="s">
        <v>1331</v>
      </c>
      <c r="C628" s="6" t="s">
        <v>1332</v>
      </c>
      <c r="D628" s="6" t="s">
        <v>107</v>
      </c>
      <c r="E628" s="6" t="s">
        <v>108</v>
      </c>
      <c r="F628" s="7" t="s">
        <v>103</v>
      </c>
      <c r="G628" s="7" t="s">
        <v>104</v>
      </c>
      <c r="H628" s="7"/>
      <c r="I628" s="7"/>
      <c r="J628" s="7" t="s">
        <v>1344</v>
      </c>
      <c r="K628" s="7" t="s">
        <v>505</v>
      </c>
      <c r="L628" s="7" t="s">
        <v>81</v>
      </c>
      <c r="M628" s="8" t="str">
        <f t="shared" si="18"/>
        <v>NA</v>
      </c>
      <c r="N628" s="8" t="str">
        <f t="shared" si="19"/>
        <v>Complete</v>
      </c>
    </row>
    <row r="629" spans="1:14" ht="40.5" customHeight="1">
      <c r="A629" s="6">
        <v>628</v>
      </c>
      <c r="B629" s="6" t="s">
        <v>1331</v>
      </c>
      <c r="C629" s="6" t="s">
        <v>1332</v>
      </c>
      <c r="D629" s="6" t="s">
        <v>112</v>
      </c>
      <c r="E629" s="6" t="s">
        <v>113</v>
      </c>
      <c r="F629" s="7" t="s">
        <v>103</v>
      </c>
      <c r="G629" s="7" t="s">
        <v>114</v>
      </c>
      <c r="H629" s="7"/>
      <c r="I629" s="7"/>
      <c r="J629" s="7" t="s">
        <v>1345</v>
      </c>
      <c r="K629" s="7" t="s">
        <v>184</v>
      </c>
      <c r="L629" s="7" t="s">
        <v>132</v>
      </c>
      <c r="M629" s="8" t="str">
        <f t="shared" si="18"/>
        <v>NA</v>
      </c>
      <c r="N629" s="8" t="str">
        <f t="shared" si="19"/>
        <v>Complete</v>
      </c>
    </row>
    <row r="630" spans="1:14" ht="40.5" customHeight="1">
      <c r="A630" s="6">
        <v>629</v>
      </c>
      <c r="B630" s="6" t="s">
        <v>1331</v>
      </c>
      <c r="C630" s="6" t="s">
        <v>1332</v>
      </c>
      <c r="D630" s="6" t="s">
        <v>117</v>
      </c>
      <c r="E630" s="6" t="s">
        <v>118</v>
      </c>
      <c r="F630" s="7" t="s">
        <v>103</v>
      </c>
      <c r="G630" s="7" t="s">
        <v>104</v>
      </c>
      <c r="H630" s="7"/>
      <c r="I630" s="7"/>
      <c r="J630" s="7" t="s">
        <v>1345</v>
      </c>
      <c r="K630" s="7" t="s">
        <v>1271</v>
      </c>
      <c r="L630" s="7" t="s">
        <v>81</v>
      </c>
      <c r="M630" s="8" t="str">
        <f t="shared" si="18"/>
        <v>NA</v>
      </c>
      <c r="N630" s="8" t="str">
        <f t="shared" si="19"/>
        <v>Complete</v>
      </c>
    </row>
    <row r="631" spans="1:14" ht="27" customHeight="1">
      <c r="A631" s="6">
        <v>630</v>
      </c>
      <c r="B631" s="6" t="s">
        <v>1331</v>
      </c>
      <c r="C631" s="6" t="s">
        <v>1332</v>
      </c>
      <c r="D631" s="6" t="s">
        <v>122</v>
      </c>
      <c r="E631" s="6" t="s">
        <v>123</v>
      </c>
      <c r="F631" s="7" t="s">
        <v>103</v>
      </c>
      <c r="G631" s="7" t="s">
        <v>104</v>
      </c>
      <c r="H631" s="7"/>
      <c r="I631" s="7"/>
      <c r="J631" s="7" t="s">
        <v>1346</v>
      </c>
      <c r="K631" s="7" t="s">
        <v>1347</v>
      </c>
      <c r="L631" s="7" t="s">
        <v>111</v>
      </c>
      <c r="M631" s="8" t="str">
        <f t="shared" si="18"/>
        <v>NA</v>
      </c>
      <c r="N631" s="8" t="str">
        <f t="shared" si="19"/>
        <v>Complete</v>
      </c>
    </row>
    <row r="632" spans="1:14" ht="27" customHeight="1">
      <c r="A632" s="6">
        <v>631</v>
      </c>
      <c r="B632" s="6" t="s">
        <v>1348</v>
      </c>
      <c r="C632" s="6" t="s">
        <v>1349</v>
      </c>
      <c r="D632" s="6" t="s">
        <v>75</v>
      </c>
      <c r="E632" s="6" t="s">
        <v>76</v>
      </c>
      <c r="F632" s="7" t="s">
        <v>77</v>
      </c>
      <c r="G632" s="7"/>
      <c r="H632" s="7" t="s">
        <v>78</v>
      </c>
      <c r="I632" s="7"/>
      <c r="J632" s="7" t="s">
        <v>1350</v>
      </c>
      <c r="K632" s="7" t="s">
        <v>1351</v>
      </c>
      <c r="L632" s="7" t="s">
        <v>81</v>
      </c>
      <c r="M632" s="8" t="str">
        <f t="shared" si="18"/>
        <v>D</v>
      </c>
      <c r="N632" s="8" t="str">
        <f t="shared" si="19"/>
        <v>Complete</v>
      </c>
    </row>
    <row r="633" spans="1:14" ht="27" customHeight="1">
      <c r="A633" s="6">
        <v>632</v>
      </c>
      <c r="B633" s="6" t="s">
        <v>1348</v>
      </c>
      <c r="C633" s="6" t="s">
        <v>1349</v>
      </c>
      <c r="D633" s="6" t="s">
        <v>82</v>
      </c>
      <c r="E633" s="6" t="s">
        <v>83</v>
      </c>
      <c r="F633" s="7" t="s">
        <v>77</v>
      </c>
      <c r="G633" s="7"/>
      <c r="H633" s="7" t="s">
        <v>78</v>
      </c>
      <c r="I633" s="7"/>
      <c r="J633" s="7" t="s">
        <v>1352</v>
      </c>
      <c r="K633" s="7" t="s">
        <v>1353</v>
      </c>
      <c r="L633" s="7" t="s">
        <v>81</v>
      </c>
      <c r="M633" s="8" t="str">
        <f t="shared" si="18"/>
        <v>D</v>
      </c>
      <c r="N633" s="8" t="str">
        <f t="shared" si="19"/>
        <v>Complete</v>
      </c>
    </row>
    <row r="634" spans="1:14" ht="40.5" customHeight="1">
      <c r="A634" s="6">
        <v>633</v>
      </c>
      <c r="B634" s="6" t="s">
        <v>1348</v>
      </c>
      <c r="C634" s="6" t="s">
        <v>1349</v>
      </c>
      <c r="D634" s="6" t="s">
        <v>86</v>
      </c>
      <c r="E634" s="6" t="s">
        <v>87</v>
      </c>
      <c r="F634" s="7" t="s">
        <v>77</v>
      </c>
      <c r="G634" s="7"/>
      <c r="H634" s="7" t="s">
        <v>94</v>
      </c>
      <c r="I634" s="7"/>
      <c r="J634" s="7" t="s">
        <v>1354</v>
      </c>
      <c r="K634" s="7" t="s">
        <v>1355</v>
      </c>
      <c r="L634" s="7" t="s">
        <v>81</v>
      </c>
      <c r="M634" s="8" t="str">
        <f t="shared" si="18"/>
        <v>U</v>
      </c>
      <c r="N634" s="8" t="str">
        <f t="shared" si="19"/>
        <v>Complete</v>
      </c>
    </row>
    <row r="635" spans="1:14" ht="27" customHeight="1">
      <c r="A635" s="6">
        <v>634</v>
      </c>
      <c r="B635" s="6" t="s">
        <v>1348</v>
      </c>
      <c r="C635" s="6" t="s">
        <v>1349</v>
      </c>
      <c r="D635" s="6" t="s">
        <v>92</v>
      </c>
      <c r="E635" s="6" t="s">
        <v>93</v>
      </c>
      <c r="F635" s="7" t="s">
        <v>77</v>
      </c>
      <c r="G635" s="7"/>
      <c r="H635" s="7" t="s">
        <v>94</v>
      </c>
      <c r="I635" s="7"/>
      <c r="J635" s="7" t="s">
        <v>1356</v>
      </c>
      <c r="K635" s="7" t="s">
        <v>539</v>
      </c>
      <c r="L635" s="7" t="s">
        <v>81</v>
      </c>
      <c r="M635" s="8" t="str">
        <f t="shared" si="18"/>
        <v>U</v>
      </c>
      <c r="N635" s="8" t="str">
        <f t="shared" si="19"/>
        <v>Complete</v>
      </c>
    </row>
    <row r="636" spans="1:14" ht="27" customHeight="1">
      <c r="A636" s="6">
        <v>635</v>
      </c>
      <c r="B636" s="6" t="s">
        <v>1348</v>
      </c>
      <c r="C636" s="6" t="s">
        <v>1349</v>
      </c>
      <c r="D636" s="6" t="s">
        <v>97</v>
      </c>
      <c r="E636" s="6" t="s">
        <v>98</v>
      </c>
      <c r="F636" s="7" t="s">
        <v>77</v>
      </c>
      <c r="G636" s="7"/>
      <c r="H636" s="7" t="s">
        <v>94</v>
      </c>
      <c r="I636" s="7"/>
      <c r="J636" s="7" t="s">
        <v>1357</v>
      </c>
      <c r="K636" s="7" t="s">
        <v>1324</v>
      </c>
      <c r="L636" s="7" t="s">
        <v>81</v>
      </c>
      <c r="M636" s="8" t="str">
        <f t="shared" si="18"/>
        <v>U</v>
      </c>
      <c r="N636" s="8" t="str">
        <f t="shared" si="19"/>
        <v>Complete</v>
      </c>
    </row>
    <row r="637" spans="1:14" ht="40.5" customHeight="1">
      <c r="A637" s="6">
        <v>636</v>
      </c>
      <c r="B637" s="6" t="s">
        <v>1348</v>
      </c>
      <c r="C637" s="6" t="s">
        <v>1349</v>
      </c>
      <c r="D637" s="6" t="s">
        <v>101</v>
      </c>
      <c r="E637" s="6" t="s">
        <v>102</v>
      </c>
      <c r="F637" s="7" t="s">
        <v>103</v>
      </c>
      <c r="G637" s="7" t="s">
        <v>104</v>
      </c>
      <c r="H637" s="7"/>
      <c r="I637" s="7"/>
      <c r="J637" s="7" t="s">
        <v>1358</v>
      </c>
      <c r="K637" s="7" t="s">
        <v>1359</v>
      </c>
      <c r="L637" s="7" t="s">
        <v>81</v>
      </c>
      <c r="M637" s="8" t="str">
        <f t="shared" si="18"/>
        <v>NA</v>
      </c>
      <c r="N637" s="8" t="str">
        <f t="shared" si="19"/>
        <v>Complete</v>
      </c>
    </row>
    <row r="638" spans="1:14" ht="40.5" customHeight="1">
      <c r="A638" s="6">
        <v>637</v>
      </c>
      <c r="B638" s="6" t="s">
        <v>1348</v>
      </c>
      <c r="C638" s="6" t="s">
        <v>1349</v>
      </c>
      <c r="D638" s="6" t="s">
        <v>107</v>
      </c>
      <c r="E638" s="6" t="s">
        <v>108</v>
      </c>
      <c r="F638" s="7" t="s">
        <v>103</v>
      </c>
      <c r="G638" s="7" t="s">
        <v>104</v>
      </c>
      <c r="H638" s="7"/>
      <c r="I638" s="7"/>
      <c r="J638" s="7" t="s">
        <v>1360</v>
      </c>
      <c r="K638" s="7" t="s">
        <v>1361</v>
      </c>
      <c r="L638" s="7" t="s">
        <v>111</v>
      </c>
      <c r="M638" s="8" t="str">
        <f t="shared" si="18"/>
        <v>NA</v>
      </c>
      <c r="N638" s="8" t="str">
        <f t="shared" si="19"/>
        <v>Complete</v>
      </c>
    </row>
    <row r="639" spans="1:14" ht="40.5" customHeight="1">
      <c r="A639" s="6">
        <v>638</v>
      </c>
      <c r="B639" s="6" t="s">
        <v>1348</v>
      </c>
      <c r="C639" s="6" t="s">
        <v>1349</v>
      </c>
      <c r="D639" s="6" t="s">
        <v>112</v>
      </c>
      <c r="E639" s="6" t="s">
        <v>113</v>
      </c>
      <c r="F639" s="7" t="s">
        <v>103</v>
      </c>
      <c r="G639" s="7" t="s">
        <v>114</v>
      </c>
      <c r="H639" s="7"/>
      <c r="I639" s="7"/>
      <c r="J639" s="7" t="s">
        <v>1362</v>
      </c>
      <c r="K639" s="7" t="s">
        <v>184</v>
      </c>
      <c r="L639" s="7" t="s">
        <v>132</v>
      </c>
      <c r="M639" s="8" t="str">
        <f t="shared" si="18"/>
        <v>NA</v>
      </c>
      <c r="N639" s="8" t="str">
        <f t="shared" si="19"/>
        <v>Complete</v>
      </c>
    </row>
    <row r="640" spans="1:14" ht="40.5" customHeight="1">
      <c r="A640" s="6">
        <v>639</v>
      </c>
      <c r="B640" s="6" t="s">
        <v>1348</v>
      </c>
      <c r="C640" s="6" t="s">
        <v>1349</v>
      </c>
      <c r="D640" s="6" t="s">
        <v>117</v>
      </c>
      <c r="E640" s="6" t="s">
        <v>118</v>
      </c>
      <c r="F640" s="7" t="s">
        <v>103</v>
      </c>
      <c r="G640" s="7" t="s">
        <v>104</v>
      </c>
      <c r="H640" s="7"/>
      <c r="I640" s="7"/>
      <c r="J640" s="7" t="s">
        <v>1363</v>
      </c>
      <c r="K640" s="7" t="s">
        <v>1271</v>
      </c>
      <c r="L640" s="7" t="s">
        <v>81</v>
      </c>
      <c r="M640" s="8" t="str">
        <f t="shared" si="18"/>
        <v>NA</v>
      </c>
      <c r="N640" s="8" t="str">
        <f t="shared" si="19"/>
        <v>Complete</v>
      </c>
    </row>
    <row r="641" spans="1:14" ht="40.5" customHeight="1">
      <c r="A641" s="6">
        <v>640</v>
      </c>
      <c r="B641" s="6" t="s">
        <v>1348</v>
      </c>
      <c r="C641" s="6" t="s">
        <v>1349</v>
      </c>
      <c r="D641" s="6" t="s">
        <v>122</v>
      </c>
      <c r="E641" s="6" t="s">
        <v>123</v>
      </c>
      <c r="F641" s="7" t="s">
        <v>103</v>
      </c>
      <c r="G641" s="7" t="s">
        <v>104</v>
      </c>
      <c r="H641" s="7"/>
      <c r="I641" s="7"/>
      <c r="J641" s="7" t="s">
        <v>1364</v>
      </c>
      <c r="K641" s="7" t="s">
        <v>1365</v>
      </c>
      <c r="L641" s="7" t="s">
        <v>81</v>
      </c>
      <c r="M641" s="8" t="str">
        <f t="shared" si="18"/>
        <v>NA</v>
      </c>
      <c r="N641" s="8" t="str">
        <f t="shared" si="19"/>
        <v>Complete</v>
      </c>
    </row>
    <row r="642" spans="1:14" ht="27" customHeight="1">
      <c r="A642" s="6">
        <v>641</v>
      </c>
      <c r="B642" s="6" t="s">
        <v>1366</v>
      </c>
      <c r="C642" s="6" t="s">
        <v>1367</v>
      </c>
      <c r="D642" s="6" t="s">
        <v>75</v>
      </c>
      <c r="E642" s="6" t="s">
        <v>76</v>
      </c>
      <c r="F642" s="7" t="s">
        <v>77</v>
      </c>
      <c r="G642" s="7"/>
      <c r="H642" s="7" t="s">
        <v>88</v>
      </c>
      <c r="I642" s="7" t="s">
        <v>89</v>
      </c>
      <c r="J642" s="7" t="s">
        <v>1368</v>
      </c>
      <c r="K642" s="7" t="s">
        <v>1369</v>
      </c>
      <c r="L642" s="7" t="s">
        <v>111</v>
      </c>
      <c r="M642" s="8" t="str">
        <f t="shared" ref="M642:M705" si="20">IF(F642="Not applicable","NA",IF(F642="Applicable",IF(H642="","",H642),""))</f>
        <v>R</v>
      </c>
      <c r="N642" s="8" t="str">
        <f t="shared" ref="N642:N705" si="21">IF(F642="","Applicability missing",IF(AND(F642="Applicable",H642=""),"Record status missing",IF(AND(F642="Applicable",G642&lt;&gt;""),"Boundary strength must be blank for applicable rows",IF(AND(F642="Not applicable",G642=""),"Boundary strength missing",IF(AND(F642="Not applicable",H642&lt;&gt;""),"Record status must be blank for not-applicable rows",IF(AND(H642="R",I642=""),"Recovery stability missing",IF(J642="","Evidence location missing","Complete")))))))</f>
        <v>Complete</v>
      </c>
    </row>
    <row r="643" spans="1:14" ht="27" customHeight="1">
      <c r="A643" s="6">
        <v>642</v>
      </c>
      <c r="B643" s="6" t="s">
        <v>1366</v>
      </c>
      <c r="C643" s="6" t="s">
        <v>1367</v>
      </c>
      <c r="D643" s="6" t="s">
        <v>82</v>
      </c>
      <c r="E643" s="6" t="s">
        <v>83</v>
      </c>
      <c r="F643" s="7" t="s">
        <v>77</v>
      </c>
      <c r="G643" s="7"/>
      <c r="H643" s="7" t="s">
        <v>88</v>
      </c>
      <c r="I643" s="7" t="s">
        <v>89</v>
      </c>
      <c r="J643" s="7" t="s">
        <v>1370</v>
      </c>
      <c r="K643" s="7" t="s">
        <v>1371</v>
      </c>
      <c r="L643" s="7" t="s">
        <v>111</v>
      </c>
      <c r="M643" s="8" t="str">
        <f t="shared" si="20"/>
        <v>R</v>
      </c>
      <c r="N643" s="8" t="str">
        <f t="shared" si="21"/>
        <v>Complete</v>
      </c>
    </row>
    <row r="644" spans="1:14" ht="27" customHeight="1">
      <c r="A644" s="6">
        <v>643</v>
      </c>
      <c r="B644" s="6" t="s">
        <v>1366</v>
      </c>
      <c r="C644" s="6" t="s">
        <v>1367</v>
      </c>
      <c r="D644" s="6" t="s">
        <v>86</v>
      </c>
      <c r="E644" s="6" t="s">
        <v>87</v>
      </c>
      <c r="F644" s="7" t="s">
        <v>77</v>
      </c>
      <c r="G644" s="7"/>
      <c r="H644" s="7" t="s">
        <v>94</v>
      </c>
      <c r="I644" s="7"/>
      <c r="J644" s="7" t="s">
        <v>1370</v>
      </c>
      <c r="K644" s="7" t="s">
        <v>1372</v>
      </c>
      <c r="L644" s="7" t="s">
        <v>111</v>
      </c>
      <c r="M644" s="8" t="str">
        <f t="shared" si="20"/>
        <v>U</v>
      </c>
      <c r="N644" s="8" t="str">
        <f t="shared" si="21"/>
        <v>Complete</v>
      </c>
    </row>
    <row r="645" spans="1:14" ht="27" customHeight="1">
      <c r="A645" s="6">
        <v>644</v>
      </c>
      <c r="B645" s="6" t="s">
        <v>1366</v>
      </c>
      <c r="C645" s="6" t="s">
        <v>1367</v>
      </c>
      <c r="D645" s="6" t="s">
        <v>92</v>
      </c>
      <c r="E645" s="6" t="s">
        <v>93</v>
      </c>
      <c r="F645" s="7" t="s">
        <v>77</v>
      </c>
      <c r="G645" s="7"/>
      <c r="H645" s="7" t="s">
        <v>94</v>
      </c>
      <c r="I645" s="7"/>
      <c r="J645" s="7" t="s">
        <v>1368</v>
      </c>
      <c r="K645" s="7" t="s">
        <v>539</v>
      </c>
      <c r="L645" s="7" t="s">
        <v>81</v>
      </c>
      <c r="M645" s="8" t="str">
        <f t="shared" si="20"/>
        <v>U</v>
      </c>
      <c r="N645" s="8" t="str">
        <f t="shared" si="21"/>
        <v>Complete</v>
      </c>
    </row>
    <row r="646" spans="1:14" ht="40.5" customHeight="1">
      <c r="A646" s="6">
        <v>645</v>
      </c>
      <c r="B646" s="6" t="s">
        <v>1366</v>
      </c>
      <c r="C646" s="6" t="s">
        <v>1367</v>
      </c>
      <c r="D646" s="6" t="s">
        <v>97</v>
      </c>
      <c r="E646" s="6" t="s">
        <v>98</v>
      </c>
      <c r="F646" s="7" t="s">
        <v>103</v>
      </c>
      <c r="G646" s="7" t="s">
        <v>104</v>
      </c>
      <c r="H646" s="7"/>
      <c r="I646" s="7"/>
      <c r="J646" s="7" t="s">
        <v>1373</v>
      </c>
      <c r="K646" s="7" t="s">
        <v>1374</v>
      </c>
      <c r="L646" s="7" t="s">
        <v>81</v>
      </c>
      <c r="M646" s="8" t="str">
        <f t="shared" si="20"/>
        <v>NA</v>
      </c>
      <c r="N646" s="8" t="str">
        <f t="shared" si="21"/>
        <v>Complete</v>
      </c>
    </row>
    <row r="647" spans="1:14" ht="27" customHeight="1">
      <c r="A647" s="6">
        <v>646</v>
      </c>
      <c r="B647" s="6" t="s">
        <v>1366</v>
      </c>
      <c r="C647" s="6" t="s">
        <v>1367</v>
      </c>
      <c r="D647" s="6" t="s">
        <v>101</v>
      </c>
      <c r="E647" s="6" t="s">
        <v>102</v>
      </c>
      <c r="F647" s="7" t="s">
        <v>103</v>
      </c>
      <c r="G647" s="7" t="s">
        <v>104</v>
      </c>
      <c r="H647" s="7"/>
      <c r="I647" s="7"/>
      <c r="J647" s="7" t="s">
        <v>1375</v>
      </c>
      <c r="K647" s="7" t="s">
        <v>407</v>
      </c>
      <c r="L647" s="7" t="s">
        <v>81</v>
      </c>
      <c r="M647" s="8" t="str">
        <f t="shared" si="20"/>
        <v>NA</v>
      </c>
      <c r="N647" s="8" t="str">
        <f t="shared" si="21"/>
        <v>Complete</v>
      </c>
    </row>
    <row r="648" spans="1:14" ht="40.5" customHeight="1">
      <c r="A648" s="6">
        <v>647</v>
      </c>
      <c r="B648" s="6" t="s">
        <v>1366</v>
      </c>
      <c r="C648" s="6" t="s">
        <v>1367</v>
      </c>
      <c r="D648" s="6" t="s">
        <v>107</v>
      </c>
      <c r="E648" s="6" t="s">
        <v>108</v>
      </c>
      <c r="F648" s="7" t="s">
        <v>103</v>
      </c>
      <c r="G648" s="7" t="s">
        <v>104</v>
      </c>
      <c r="H648" s="7"/>
      <c r="I648" s="7"/>
      <c r="J648" s="7" t="s">
        <v>1376</v>
      </c>
      <c r="K648" s="7" t="s">
        <v>505</v>
      </c>
      <c r="L648" s="7" t="s">
        <v>81</v>
      </c>
      <c r="M648" s="8" t="str">
        <f t="shared" si="20"/>
        <v>NA</v>
      </c>
      <c r="N648" s="8" t="str">
        <f t="shared" si="21"/>
        <v>Complete</v>
      </c>
    </row>
    <row r="649" spans="1:14" ht="40.5" customHeight="1">
      <c r="A649" s="6">
        <v>648</v>
      </c>
      <c r="B649" s="6" t="s">
        <v>1366</v>
      </c>
      <c r="C649" s="6" t="s">
        <v>1367</v>
      </c>
      <c r="D649" s="6" t="s">
        <v>112</v>
      </c>
      <c r="E649" s="6" t="s">
        <v>113</v>
      </c>
      <c r="F649" s="7" t="s">
        <v>103</v>
      </c>
      <c r="G649" s="7" t="s">
        <v>114</v>
      </c>
      <c r="H649" s="7"/>
      <c r="I649" s="7"/>
      <c r="J649" s="7" t="s">
        <v>1377</v>
      </c>
      <c r="K649" s="7" t="s">
        <v>184</v>
      </c>
      <c r="L649" s="7" t="s">
        <v>132</v>
      </c>
      <c r="M649" s="8" t="str">
        <f t="shared" si="20"/>
        <v>NA</v>
      </c>
      <c r="N649" s="8" t="str">
        <f t="shared" si="21"/>
        <v>Complete</v>
      </c>
    </row>
    <row r="650" spans="1:14" ht="27" customHeight="1">
      <c r="A650" s="6">
        <v>649</v>
      </c>
      <c r="B650" s="6" t="s">
        <v>1366</v>
      </c>
      <c r="C650" s="6" t="s">
        <v>1367</v>
      </c>
      <c r="D650" s="6" t="s">
        <v>117</v>
      </c>
      <c r="E650" s="6" t="s">
        <v>118</v>
      </c>
      <c r="F650" s="7" t="s">
        <v>77</v>
      </c>
      <c r="G650" s="7"/>
      <c r="H650" s="7" t="s">
        <v>94</v>
      </c>
      <c r="I650" s="7"/>
      <c r="J650" s="7" t="s">
        <v>1370</v>
      </c>
      <c r="K650" s="7" t="s">
        <v>1378</v>
      </c>
      <c r="L650" s="7" t="s">
        <v>111</v>
      </c>
      <c r="M650" s="8" t="str">
        <f t="shared" si="20"/>
        <v>U</v>
      </c>
      <c r="N650" s="8" t="str">
        <f t="shared" si="21"/>
        <v>Complete</v>
      </c>
    </row>
    <row r="651" spans="1:14" ht="40.5" customHeight="1">
      <c r="A651" s="6">
        <v>650</v>
      </c>
      <c r="B651" s="6" t="s">
        <v>1366</v>
      </c>
      <c r="C651" s="6" t="s">
        <v>1367</v>
      </c>
      <c r="D651" s="6" t="s">
        <v>122</v>
      </c>
      <c r="E651" s="6" t="s">
        <v>123</v>
      </c>
      <c r="F651" s="7" t="s">
        <v>103</v>
      </c>
      <c r="G651" s="7" t="s">
        <v>104</v>
      </c>
      <c r="H651" s="7"/>
      <c r="I651" s="7"/>
      <c r="J651" s="7" t="s">
        <v>1377</v>
      </c>
      <c r="K651" s="7" t="s">
        <v>168</v>
      </c>
      <c r="L651" s="7" t="s">
        <v>81</v>
      </c>
      <c r="M651" s="8" t="str">
        <f t="shared" si="20"/>
        <v>NA</v>
      </c>
      <c r="N651" s="8" t="str">
        <f t="shared" si="21"/>
        <v>Complete</v>
      </c>
    </row>
    <row r="652" spans="1:14" ht="40.5" customHeight="1">
      <c r="A652" s="6">
        <v>651</v>
      </c>
      <c r="B652" s="6" t="s">
        <v>1379</v>
      </c>
      <c r="C652" s="6" t="s">
        <v>1380</v>
      </c>
      <c r="D652" s="6" t="s">
        <v>75</v>
      </c>
      <c r="E652" s="6" t="s">
        <v>76</v>
      </c>
      <c r="F652" s="7" t="s">
        <v>77</v>
      </c>
      <c r="G652" s="7"/>
      <c r="H652" s="7" t="s">
        <v>88</v>
      </c>
      <c r="I652" s="7" t="s">
        <v>89</v>
      </c>
      <c r="J652" s="7" t="s">
        <v>1381</v>
      </c>
      <c r="K652" s="7" t="s">
        <v>1382</v>
      </c>
      <c r="L652" s="7" t="s">
        <v>111</v>
      </c>
      <c r="M652" s="8" t="str">
        <f t="shared" si="20"/>
        <v>R</v>
      </c>
      <c r="N652" s="8" t="str">
        <f t="shared" si="21"/>
        <v>Complete</v>
      </c>
    </row>
    <row r="653" spans="1:14" ht="27" customHeight="1">
      <c r="A653" s="6">
        <v>652</v>
      </c>
      <c r="B653" s="6" t="s">
        <v>1379</v>
      </c>
      <c r="C653" s="6" t="s">
        <v>1380</v>
      </c>
      <c r="D653" s="6" t="s">
        <v>82</v>
      </c>
      <c r="E653" s="6" t="s">
        <v>83</v>
      </c>
      <c r="F653" s="7" t="s">
        <v>77</v>
      </c>
      <c r="G653" s="7"/>
      <c r="H653" s="7" t="s">
        <v>88</v>
      </c>
      <c r="I653" s="7" t="s">
        <v>89</v>
      </c>
      <c r="J653" s="7" t="s">
        <v>1383</v>
      </c>
      <c r="K653" s="7" t="s">
        <v>1384</v>
      </c>
      <c r="L653" s="7" t="s">
        <v>111</v>
      </c>
      <c r="M653" s="8" t="str">
        <f t="shared" si="20"/>
        <v>R</v>
      </c>
      <c r="N653" s="8" t="str">
        <f t="shared" si="21"/>
        <v>Complete</v>
      </c>
    </row>
    <row r="654" spans="1:14" ht="27" customHeight="1">
      <c r="A654" s="6">
        <v>653</v>
      </c>
      <c r="B654" s="6" t="s">
        <v>1379</v>
      </c>
      <c r="C654" s="6" t="s">
        <v>1380</v>
      </c>
      <c r="D654" s="6" t="s">
        <v>86</v>
      </c>
      <c r="E654" s="6" t="s">
        <v>87</v>
      </c>
      <c r="F654" s="7" t="s">
        <v>77</v>
      </c>
      <c r="G654" s="7"/>
      <c r="H654" s="7" t="s">
        <v>94</v>
      </c>
      <c r="I654" s="7"/>
      <c r="J654" s="7" t="s">
        <v>1385</v>
      </c>
      <c r="K654" s="7" t="s">
        <v>1386</v>
      </c>
      <c r="L654" s="7" t="s">
        <v>111</v>
      </c>
      <c r="M654" s="8" t="str">
        <f t="shared" si="20"/>
        <v>U</v>
      </c>
      <c r="N654" s="8" t="str">
        <f t="shared" si="21"/>
        <v>Complete</v>
      </c>
    </row>
    <row r="655" spans="1:14" ht="27" customHeight="1">
      <c r="A655" s="6">
        <v>654</v>
      </c>
      <c r="B655" s="6" t="s">
        <v>1379</v>
      </c>
      <c r="C655" s="6" t="s">
        <v>1380</v>
      </c>
      <c r="D655" s="6" t="s">
        <v>92</v>
      </c>
      <c r="E655" s="6" t="s">
        <v>93</v>
      </c>
      <c r="F655" s="7" t="s">
        <v>77</v>
      </c>
      <c r="G655" s="7"/>
      <c r="H655" s="7" t="s">
        <v>94</v>
      </c>
      <c r="I655" s="7"/>
      <c r="J655" s="7" t="s">
        <v>1387</v>
      </c>
      <c r="K655" s="7" t="s">
        <v>1388</v>
      </c>
      <c r="L655" s="7" t="s">
        <v>81</v>
      </c>
      <c r="M655" s="8" t="str">
        <f t="shared" si="20"/>
        <v>U</v>
      </c>
      <c r="N655" s="8" t="str">
        <f t="shared" si="21"/>
        <v>Complete</v>
      </c>
    </row>
    <row r="656" spans="1:14" ht="40.5" customHeight="1">
      <c r="A656" s="6">
        <v>655</v>
      </c>
      <c r="B656" s="6" t="s">
        <v>1379</v>
      </c>
      <c r="C656" s="6" t="s">
        <v>1380</v>
      </c>
      <c r="D656" s="6" t="s">
        <v>97</v>
      </c>
      <c r="E656" s="6" t="s">
        <v>98</v>
      </c>
      <c r="F656" s="7" t="s">
        <v>103</v>
      </c>
      <c r="G656" s="7" t="s">
        <v>104</v>
      </c>
      <c r="H656" s="7"/>
      <c r="I656" s="7"/>
      <c r="J656" s="7" t="s">
        <v>1389</v>
      </c>
      <c r="K656" s="7" t="s">
        <v>1390</v>
      </c>
      <c r="L656" s="7" t="s">
        <v>81</v>
      </c>
      <c r="M656" s="8" t="str">
        <f t="shared" si="20"/>
        <v>NA</v>
      </c>
      <c r="N656" s="8" t="str">
        <f t="shared" si="21"/>
        <v>Complete</v>
      </c>
    </row>
    <row r="657" spans="1:14" ht="40.5" customHeight="1">
      <c r="A657" s="6">
        <v>656</v>
      </c>
      <c r="B657" s="6" t="s">
        <v>1379</v>
      </c>
      <c r="C657" s="6" t="s">
        <v>1380</v>
      </c>
      <c r="D657" s="6" t="s">
        <v>101</v>
      </c>
      <c r="E657" s="6" t="s">
        <v>102</v>
      </c>
      <c r="F657" s="7" t="s">
        <v>103</v>
      </c>
      <c r="G657" s="7" t="s">
        <v>104</v>
      </c>
      <c r="H657" s="7"/>
      <c r="I657" s="7"/>
      <c r="J657" s="7" t="s">
        <v>1391</v>
      </c>
      <c r="K657" s="7" t="s">
        <v>1392</v>
      </c>
      <c r="L657" s="7" t="s">
        <v>81</v>
      </c>
      <c r="M657" s="8" t="str">
        <f t="shared" si="20"/>
        <v>NA</v>
      </c>
      <c r="N657" s="8" t="str">
        <f t="shared" si="21"/>
        <v>Complete</v>
      </c>
    </row>
    <row r="658" spans="1:14" ht="40.5" customHeight="1">
      <c r="A658" s="6">
        <v>657</v>
      </c>
      <c r="B658" s="6" t="s">
        <v>1379</v>
      </c>
      <c r="C658" s="6" t="s">
        <v>1380</v>
      </c>
      <c r="D658" s="6" t="s">
        <v>107</v>
      </c>
      <c r="E658" s="6" t="s">
        <v>108</v>
      </c>
      <c r="F658" s="7" t="s">
        <v>103</v>
      </c>
      <c r="G658" s="7" t="s">
        <v>104</v>
      </c>
      <c r="H658" s="7"/>
      <c r="I658" s="7"/>
      <c r="J658" s="7" t="s">
        <v>1393</v>
      </c>
      <c r="K658" s="7" t="s">
        <v>505</v>
      </c>
      <c r="L658" s="7" t="s">
        <v>81</v>
      </c>
      <c r="M658" s="8" t="str">
        <f t="shared" si="20"/>
        <v>NA</v>
      </c>
      <c r="N658" s="8" t="str">
        <f t="shared" si="21"/>
        <v>Complete</v>
      </c>
    </row>
    <row r="659" spans="1:14" ht="40.5" customHeight="1">
      <c r="A659" s="6">
        <v>658</v>
      </c>
      <c r="B659" s="6" t="s">
        <v>1379</v>
      </c>
      <c r="C659" s="6" t="s">
        <v>1380</v>
      </c>
      <c r="D659" s="6" t="s">
        <v>112</v>
      </c>
      <c r="E659" s="6" t="s">
        <v>113</v>
      </c>
      <c r="F659" s="7" t="s">
        <v>103</v>
      </c>
      <c r="G659" s="7" t="s">
        <v>114</v>
      </c>
      <c r="H659" s="7"/>
      <c r="I659" s="7"/>
      <c r="J659" s="7" t="s">
        <v>1394</v>
      </c>
      <c r="K659" s="7" t="s">
        <v>184</v>
      </c>
      <c r="L659" s="7" t="s">
        <v>132</v>
      </c>
      <c r="M659" s="8" t="str">
        <f t="shared" si="20"/>
        <v>NA</v>
      </c>
      <c r="N659" s="8" t="str">
        <f t="shared" si="21"/>
        <v>Complete</v>
      </c>
    </row>
    <row r="660" spans="1:14" ht="40.5" customHeight="1">
      <c r="A660" s="6">
        <v>659</v>
      </c>
      <c r="B660" s="6" t="s">
        <v>1379</v>
      </c>
      <c r="C660" s="6" t="s">
        <v>1380</v>
      </c>
      <c r="D660" s="6" t="s">
        <v>117</v>
      </c>
      <c r="E660" s="6" t="s">
        <v>118</v>
      </c>
      <c r="F660" s="7" t="s">
        <v>103</v>
      </c>
      <c r="G660" s="7" t="s">
        <v>104</v>
      </c>
      <c r="H660" s="7"/>
      <c r="I660" s="7"/>
      <c r="J660" s="7" t="s">
        <v>1395</v>
      </c>
      <c r="K660" s="7" t="s">
        <v>1396</v>
      </c>
      <c r="L660" s="7" t="s">
        <v>81</v>
      </c>
      <c r="M660" s="8" t="str">
        <f t="shared" si="20"/>
        <v>NA</v>
      </c>
      <c r="N660" s="8" t="str">
        <f t="shared" si="21"/>
        <v>Complete</v>
      </c>
    </row>
    <row r="661" spans="1:14" ht="40.5" customHeight="1">
      <c r="A661" s="6">
        <v>660</v>
      </c>
      <c r="B661" s="6" t="s">
        <v>1379</v>
      </c>
      <c r="C661" s="6" t="s">
        <v>1380</v>
      </c>
      <c r="D661" s="6" t="s">
        <v>122</v>
      </c>
      <c r="E661" s="6" t="s">
        <v>123</v>
      </c>
      <c r="F661" s="7" t="s">
        <v>103</v>
      </c>
      <c r="G661" s="7" t="s">
        <v>104</v>
      </c>
      <c r="H661" s="7"/>
      <c r="I661" s="7"/>
      <c r="J661" s="7" t="s">
        <v>1397</v>
      </c>
      <c r="K661" s="7" t="s">
        <v>1398</v>
      </c>
      <c r="L661" s="7" t="s">
        <v>81</v>
      </c>
      <c r="M661" s="8" t="str">
        <f t="shared" si="20"/>
        <v>NA</v>
      </c>
      <c r="N661" s="8" t="str">
        <f t="shared" si="21"/>
        <v>Complete</v>
      </c>
    </row>
    <row r="662" spans="1:14" ht="40.5" customHeight="1">
      <c r="A662" s="6">
        <v>661</v>
      </c>
      <c r="B662" s="6" t="s">
        <v>1399</v>
      </c>
      <c r="C662" s="6" t="s">
        <v>1400</v>
      </c>
      <c r="D662" s="6" t="s">
        <v>75</v>
      </c>
      <c r="E662" s="6" t="s">
        <v>76</v>
      </c>
      <c r="F662" s="7" t="s">
        <v>77</v>
      </c>
      <c r="G662" s="7"/>
      <c r="H662" s="7" t="s">
        <v>78</v>
      </c>
      <c r="I662" s="7"/>
      <c r="J662" s="7" t="s">
        <v>1401</v>
      </c>
      <c r="K662" s="7" t="s">
        <v>1402</v>
      </c>
      <c r="L662" s="7" t="s">
        <v>81</v>
      </c>
      <c r="M662" s="8" t="str">
        <f t="shared" si="20"/>
        <v>D</v>
      </c>
      <c r="N662" s="8" t="str">
        <f t="shared" si="21"/>
        <v>Complete</v>
      </c>
    </row>
    <row r="663" spans="1:14" ht="27" customHeight="1">
      <c r="A663" s="6">
        <v>662</v>
      </c>
      <c r="B663" s="6" t="s">
        <v>1399</v>
      </c>
      <c r="C663" s="6" t="s">
        <v>1400</v>
      </c>
      <c r="D663" s="6" t="s">
        <v>82</v>
      </c>
      <c r="E663" s="6" t="s">
        <v>83</v>
      </c>
      <c r="F663" s="7" t="s">
        <v>77</v>
      </c>
      <c r="G663" s="7"/>
      <c r="H663" s="7" t="s">
        <v>88</v>
      </c>
      <c r="I663" s="7" t="s">
        <v>89</v>
      </c>
      <c r="J663" s="7" t="s">
        <v>1403</v>
      </c>
      <c r="K663" s="7" t="s">
        <v>1404</v>
      </c>
      <c r="L663" s="7" t="s">
        <v>111</v>
      </c>
      <c r="M663" s="8" t="str">
        <f t="shared" si="20"/>
        <v>R</v>
      </c>
      <c r="N663" s="8" t="str">
        <f t="shared" si="21"/>
        <v>Complete</v>
      </c>
    </row>
    <row r="664" spans="1:14" ht="27" customHeight="1">
      <c r="A664" s="6">
        <v>663</v>
      </c>
      <c r="B664" s="6" t="s">
        <v>1399</v>
      </c>
      <c r="C664" s="6" t="s">
        <v>1400</v>
      </c>
      <c r="D664" s="6" t="s">
        <v>86</v>
      </c>
      <c r="E664" s="6" t="s">
        <v>87</v>
      </c>
      <c r="F664" s="7" t="s">
        <v>77</v>
      </c>
      <c r="G664" s="7"/>
      <c r="H664" s="7" t="s">
        <v>78</v>
      </c>
      <c r="I664" s="7"/>
      <c r="J664" s="7" t="s">
        <v>1405</v>
      </c>
      <c r="K664" s="7" t="s">
        <v>1406</v>
      </c>
      <c r="L664" s="7" t="s">
        <v>111</v>
      </c>
      <c r="M664" s="8" t="str">
        <f t="shared" si="20"/>
        <v>D</v>
      </c>
      <c r="N664" s="8" t="str">
        <f t="shared" si="21"/>
        <v>Complete</v>
      </c>
    </row>
    <row r="665" spans="1:14" ht="27" customHeight="1">
      <c r="A665" s="6">
        <v>664</v>
      </c>
      <c r="B665" s="6" t="s">
        <v>1399</v>
      </c>
      <c r="C665" s="6" t="s">
        <v>1400</v>
      </c>
      <c r="D665" s="6" t="s">
        <v>92</v>
      </c>
      <c r="E665" s="6" t="s">
        <v>93</v>
      </c>
      <c r="F665" s="7" t="s">
        <v>77</v>
      </c>
      <c r="G665" s="7"/>
      <c r="H665" s="7" t="s">
        <v>94</v>
      </c>
      <c r="I665" s="7"/>
      <c r="J665" s="7" t="s">
        <v>1407</v>
      </c>
      <c r="K665" s="7" t="s">
        <v>539</v>
      </c>
      <c r="L665" s="7" t="s">
        <v>81</v>
      </c>
      <c r="M665" s="8" t="str">
        <f t="shared" si="20"/>
        <v>U</v>
      </c>
      <c r="N665" s="8" t="str">
        <f t="shared" si="21"/>
        <v>Complete</v>
      </c>
    </row>
    <row r="666" spans="1:14" ht="40.5" customHeight="1">
      <c r="A666" s="6">
        <v>665</v>
      </c>
      <c r="B666" s="6" t="s">
        <v>1399</v>
      </c>
      <c r="C666" s="6" t="s">
        <v>1400</v>
      </c>
      <c r="D666" s="6" t="s">
        <v>97</v>
      </c>
      <c r="E666" s="6" t="s">
        <v>98</v>
      </c>
      <c r="F666" s="7" t="s">
        <v>103</v>
      </c>
      <c r="G666" s="7" t="s">
        <v>104</v>
      </c>
      <c r="H666" s="7"/>
      <c r="I666" s="7"/>
      <c r="J666" s="7" t="s">
        <v>1408</v>
      </c>
      <c r="K666" s="7" t="s">
        <v>1266</v>
      </c>
      <c r="L666" s="7" t="s">
        <v>81</v>
      </c>
      <c r="M666" s="8" t="str">
        <f t="shared" si="20"/>
        <v>NA</v>
      </c>
      <c r="N666" s="8" t="str">
        <f t="shared" si="21"/>
        <v>Complete</v>
      </c>
    </row>
    <row r="667" spans="1:14" ht="40.5" customHeight="1">
      <c r="A667" s="6">
        <v>666</v>
      </c>
      <c r="B667" s="6" t="s">
        <v>1399</v>
      </c>
      <c r="C667" s="6" t="s">
        <v>1400</v>
      </c>
      <c r="D667" s="6" t="s">
        <v>101</v>
      </c>
      <c r="E667" s="6" t="s">
        <v>102</v>
      </c>
      <c r="F667" s="7" t="s">
        <v>103</v>
      </c>
      <c r="G667" s="7" t="s">
        <v>104</v>
      </c>
      <c r="H667" s="7"/>
      <c r="I667" s="7"/>
      <c r="J667" s="7" t="s">
        <v>1409</v>
      </c>
      <c r="K667" s="7" t="s">
        <v>1410</v>
      </c>
      <c r="L667" s="7" t="s">
        <v>81</v>
      </c>
      <c r="M667" s="8" t="str">
        <f t="shared" si="20"/>
        <v>NA</v>
      </c>
      <c r="N667" s="8" t="str">
        <f t="shared" si="21"/>
        <v>Complete</v>
      </c>
    </row>
    <row r="668" spans="1:14" ht="40.5" customHeight="1">
      <c r="A668" s="6">
        <v>667</v>
      </c>
      <c r="B668" s="6" t="s">
        <v>1399</v>
      </c>
      <c r="C668" s="6" t="s">
        <v>1400</v>
      </c>
      <c r="D668" s="6" t="s">
        <v>107</v>
      </c>
      <c r="E668" s="6" t="s">
        <v>108</v>
      </c>
      <c r="F668" s="7" t="s">
        <v>103</v>
      </c>
      <c r="G668" s="7" t="s">
        <v>104</v>
      </c>
      <c r="H668" s="7"/>
      <c r="I668" s="7"/>
      <c r="J668" s="7" t="s">
        <v>1411</v>
      </c>
      <c r="K668" s="7" t="s">
        <v>505</v>
      </c>
      <c r="L668" s="7" t="s">
        <v>81</v>
      </c>
      <c r="M668" s="8" t="str">
        <f t="shared" si="20"/>
        <v>NA</v>
      </c>
      <c r="N668" s="8" t="str">
        <f t="shared" si="21"/>
        <v>Complete</v>
      </c>
    </row>
    <row r="669" spans="1:14" ht="40.5" customHeight="1">
      <c r="A669" s="6">
        <v>668</v>
      </c>
      <c r="B669" s="6" t="s">
        <v>1399</v>
      </c>
      <c r="C669" s="6" t="s">
        <v>1400</v>
      </c>
      <c r="D669" s="6" t="s">
        <v>112</v>
      </c>
      <c r="E669" s="6" t="s">
        <v>113</v>
      </c>
      <c r="F669" s="7" t="s">
        <v>103</v>
      </c>
      <c r="G669" s="7" t="s">
        <v>114</v>
      </c>
      <c r="H669" s="7"/>
      <c r="I669" s="7"/>
      <c r="J669" s="7" t="s">
        <v>1412</v>
      </c>
      <c r="K669" s="7" t="s">
        <v>184</v>
      </c>
      <c r="L669" s="7" t="s">
        <v>132</v>
      </c>
      <c r="M669" s="8" t="str">
        <f t="shared" si="20"/>
        <v>NA</v>
      </c>
      <c r="N669" s="8" t="str">
        <f t="shared" si="21"/>
        <v>Complete</v>
      </c>
    </row>
    <row r="670" spans="1:14" ht="40.5" customHeight="1">
      <c r="A670" s="6">
        <v>669</v>
      </c>
      <c r="B670" s="6" t="s">
        <v>1399</v>
      </c>
      <c r="C670" s="6" t="s">
        <v>1400</v>
      </c>
      <c r="D670" s="6" t="s">
        <v>117</v>
      </c>
      <c r="E670" s="6" t="s">
        <v>118</v>
      </c>
      <c r="F670" s="7" t="s">
        <v>103</v>
      </c>
      <c r="G670" s="7" t="s">
        <v>104</v>
      </c>
      <c r="H670" s="7"/>
      <c r="I670" s="7"/>
      <c r="J670" s="7" t="s">
        <v>1413</v>
      </c>
      <c r="K670" s="7" t="s">
        <v>1271</v>
      </c>
      <c r="L670" s="7" t="s">
        <v>81</v>
      </c>
      <c r="M670" s="8" t="str">
        <f t="shared" si="20"/>
        <v>NA</v>
      </c>
      <c r="N670" s="8" t="str">
        <f t="shared" si="21"/>
        <v>Complete</v>
      </c>
    </row>
    <row r="671" spans="1:14" ht="27" customHeight="1">
      <c r="A671" s="6">
        <v>670</v>
      </c>
      <c r="B671" s="6" t="s">
        <v>1399</v>
      </c>
      <c r="C671" s="6" t="s">
        <v>1400</v>
      </c>
      <c r="D671" s="6" t="s">
        <v>122</v>
      </c>
      <c r="E671" s="6" t="s">
        <v>123</v>
      </c>
      <c r="F671" s="7" t="s">
        <v>77</v>
      </c>
      <c r="G671" s="7"/>
      <c r="H671" s="7" t="s">
        <v>88</v>
      </c>
      <c r="I671" s="7" t="s">
        <v>119</v>
      </c>
      <c r="J671" s="7" t="s">
        <v>1407</v>
      </c>
      <c r="K671" s="7" t="s">
        <v>1414</v>
      </c>
      <c r="L671" s="7" t="s">
        <v>111</v>
      </c>
      <c r="M671" s="8" t="str">
        <f t="shared" si="20"/>
        <v>R</v>
      </c>
      <c r="N671" s="8" t="str">
        <f t="shared" si="21"/>
        <v>Complete</v>
      </c>
    </row>
    <row r="672" spans="1:14" ht="27" customHeight="1">
      <c r="A672" s="6">
        <v>671</v>
      </c>
      <c r="B672" s="6" t="s">
        <v>1415</v>
      </c>
      <c r="C672" s="6" t="s">
        <v>1416</v>
      </c>
      <c r="D672" s="6" t="s">
        <v>75</v>
      </c>
      <c r="E672" s="6" t="s">
        <v>76</v>
      </c>
      <c r="F672" s="7" t="s">
        <v>77</v>
      </c>
      <c r="G672" s="7"/>
      <c r="H672" s="7" t="s">
        <v>78</v>
      </c>
      <c r="I672" s="7"/>
      <c r="J672" s="7" t="s">
        <v>1417</v>
      </c>
      <c r="K672" s="7" t="s">
        <v>1418</v>
      </c>
      <c r="L672" s="7" t="s">
        <v>111</v>
      </c>
      <c r="M672" s="8" t="str">
        <f t="shared" si="20"/>
        <v>D</v>
      </c>
      <c r="N672" s="8" t="str">
        <f t="shared" si="21"/>
        <v>Complete</v>
      </c>
    </row>
    <row r="673" spans="1:14" ht="27" customHeight="1">
      <c r="A673" s="6">
        <v>672</v>
      </c>
      <c r="B673" s="6" t="s">
        <v>1415</v>
      </c>
      <c r="C673" s="6" t="s">
        <v>1416</v>
      </c>
      <c r="D673" s="6" t="s">
        <v>82</v>
      </c>
      <c r="E673" s="6" t="s">
        <v>83</v>
      </c>
      <c r="F673" s="7" t="s">
        <v>77</v>
      </c>
      <c r="G673" s="7"/>
      <c r="H673" s="7" t="s">
        <v>78</v>
      </c>
      <c r="I673" s="7"/>
      <c r="J673" s="7" t="s">
        <v>1417</v>
      </c>
      <c r="K673" s="7" t="s">
        <v>1419</v>
      </c>
      <c r="L673" s="7" t="s">
        <v>81</v>
      </c>
      <c r="M673" s="8" t="str">
        <f t="shared" si="20"/>
        <v>D</v>
      </c>
      <c r="N673" s="8" t="str">
        <f t="shared" si="21"/>
        <v>Complete</v>
      </c>
    </row>
    <row r="674" spans="1:14" ht="27" customHeight="1">
      <c r="A674" s="6">
        <v>673</v>
      </c>
      <c r="B674" s="6" t="s">
        <v>1415</v>
      </c>
      <c r="C674" s="6" t="s">
        <v>1416</v>
      </c>
      <c r="D674" s="6" t="s">
        <v>86</v>
      </c>
      <c r="E674" s="6" t="s">
        <v>87</v>
      </c>
      <c r="F674" s="7" t="s">
        <v>77</v>
      </c>
      <c r="G674" s="7"/>
      <c r="H674" s="7" t="s">
        <v>94</v>
      </c>
      <c r="I674" s="7"/>
      <c r="J674" s="7" t="s">
        <v>1420</v>
      </c>
      <c r="K674" s="7" t="s">
        <v>1421</v>
      </c>
      <c r="L674" s="7" t="s">
        <v>81</v>
      </c>
      <c r="M674" s="8" t="str">
        <f t="shared" si="20"/>
        <v>U</v>
      </c>
      <c r="N674" s="8" t="str">
        <f t="shared" si="21"/>
        <v>Complete</v>
      </c>
    </row>
    <row r="675" spans="1:14" ht="27" customHeight="1">
      <c r="A675" s="6">
        <v>674</v>
      </c>
      <c r="B675" s="6" t="s">
        <v>1415</v>
      </c>
      <c r="C675" s="6" t="s">
        <v>1416</v>
      </c>
      <c r="D675" s="6" t="s">
        <v>92</v>
      </c>
      <c r="E675" s="6" t="s">
        <v>93</v>
      </c>
      <c r="F675" s="7" t="s">
        <v>77</v>
      </c>
      <c r="G675" s="7"/>
      <c r="H675" s="7" t="s">
        <v>78</v>
      </c>
      <c r="I675" s="7"/>
      <c r="J675" s="7" t="s">
        <v>1422</v>
      </c>
      <c r="K675" s="7" t="s">
        <v>1423</v>
      </c>
      <c r="L675" s="7" t="s">
        <v>132</v>
      </c>
      <c r="M675" s="8" t="str">
        <f t="shared" si="20"/>
        <v>D</v>
      </c>
      <c r="N675" s="8" t="str">
        <f t="shared" si="21"/>
        <v>Complete</v>
      </c>
    </row>
    <row r="676" spans="1:14" ht="40.5" customHeight="1">
      <c r="A676" s="6">
        <v>675</v>
      </c>
      <c r="B676" s="6" t="s">
        <v>1415</v>
      </c>
      <c r="C676" s="6" t="s">
        <v>1416</v>
      </c>
      <c r="D676" s="6" t="s">
        <v>97</v>
      </c>
      <c r="E676" s="6" t="s">
        <v>98</v>
      </c>
      <c r="F676" s="7" t="s">
        <v>103</v>
      </c>
      <c r="G676" s="7" t="s">
        <v>104</v>
      </c>
      <c r="H676" s="7"/>
      <c r="I676" s="7"/>
      <c r="J676" s="7" t="s">
        <v>1424</v>
      </c>
      <c r="K676" s="7" t="s">
        <v>1425</v>
      </c>
      <c r="L676" s="7" t="s">
        <v>81</v>
      </c>
      <c r="M676" s="8" t="str">
        <f t="shared" si="20"/>
        <v>NA</v>
      </c>
      <c r="N676" s="8" t="str">
        <f t="shared" si="21"/>
        <v>Complete</v>
      </c>
    </row>
    <row r="677" spans="1:14" ht="40.5" customHeight="1">
      <c r="A677" s="6">
        <v>676</v>
      </c>
      <c r="B677" s="6" t="s">
        <v>1415</v>
      </c>
      <c r="C677" s="6" t="s">
        <v>1416</v>
      </c>
      <c r="D677" s="6" t="s">
        <v>101</v>
      </c>
      <c r="E677" s="6" t="s">
        <v>102</v>
      </c>
      <c r="F677" s="7" t="s">
        <v>103</v>
      </c>
      <c r="G677" s="7" t="s">
        <v>104</v>
      </c>
      <c r="H677" s="7"/>
      <c r="I677" s="7"/>
      <c r="J677" s="7" t="s">
        <v>1426</v>
      </c>
      <c r="K677" s="7" t="s">
        <v>407</v>
      </c>
      <c r="L677" s="7" t="s">
        <v>81</v>
      </c>
      <c r="M677" s="8" t="str">
        <f t="shared" si="20"/>
        <v>NA</v>
      </c>
      <c r="N677" s="8" t="str">
        <f t="shared" si="21"/>
        <v>Complete</v>
      </c>
    </row>
    <row r="678" spans="1:14" ht="40.5" customHeight="1">
      <c r="A678" s="6">
        <v>677</v>
      </c>
      <c r="B678" s="6" t="s">
        <v>1415</v>
      </c>
      <c r="C678" s="6" t="s">
        <v>1416</v>
      </c>
      <c r="D678" s="6" t="s">
        <v>107</v>
      </c>
      <c r="E678" s="6" t="s">
        <v>108</v>
      </c>
      <c r="F678" s="7" t="s">
        <v>103</v>
      </c>
      <c r="G678" s="7" t="s">
        <v>104</v>
      </c>
      <c r="H678" s="7"/>
      <c r="I678" s="7"/>
      <c r="J678" s="7" t="s">
        <v>1427</v>
      </c>
      <c r="K678" s="7" t="s">
        <v>505</v>
      </c>
      <c r="L678" s="7" t="s">
        <v>81</v>
      </c>
      <c r="M678" s="8" t="str">
        <f t="shared" si="20"/>
        <v>NA</v>
      </c>
      <c r="N678" s="8" t="str">
        <f t="shared" si="21"/>
        <v>Complete</v>
      </c>
    </row>
    <row r="679" spans="1:14" ht="40.5" customHeight="1">
      <c r="A679" s="6">
        <v>678</v>
      </c>
      <c r="B679" s="6" t="s">
        <v>1415</v>
      </c>
      <c r="C679" s="6" t="s">
        <v>1416</v>
      </c>
      <c r="D679" s="6" t="s">
        <v>112</v>
      </c>
      <c r="E679" s="6" t="s">
        <v>113</v>
      </c>
      <c r="F679" s="7" t="s">
        <v>103</v>
      </c>
      <c r="G679" s="7" t="s">
        <v>114</v>
      </c>
      <c r="H679" s="7"/>
      <c r="I679" s="7"/>
      <c r="J679" s="7" t="s">
        <v>1428</v>
      </c>
      <c r="K679" s="7" t="s">
        <v>184</v>
      </c>
      <c r="L679" s="7" t="s">
        <v>132</v>
      </c>
      <c r="M679" s="8" t="str">
        <f t="shared" si="20"/>
        <v>NA</v>
      </c>
      <c r="N679" s="8" t="str">
        <f t="shared" si="21"/>
        <v>Complete</v>
      </c>
    </row>
    <row r="680" spans="1:14" ht="40.5" customHeight="1">
      <c r="A680" s="6">
        <v>679</v>
      </c>
      <c r="B680" s="6" t="s">
        <v>1415</v>
      </c>
      <c r="C680" s="6" t="s">
        <v>1416</v>
      </c>
      <c r="D680" s="6" t="s">
        <v>117</v>
      </c>
      <c r="E680" s="6" t="s">
        <v>118</v>
      </c>
      <c r="F680" s="7" t="s">
        <v>103</v>
      </c>
      <c r="G680" s="7" t="s">
        <v>104</v>
      </c>
      <c r="H680" s="7"/>
      <c r="I680" s="7"/>
      <c r="J680" s="7" t="s">
        <v>1429</v>
      </c>
      <c r="K680" s="7" t="s">
        <v>1271</v>
      </c>
      <c r="L680" s="7" t="s">
        <v>81</v>
      </c>
      <c r="M680" s="8" t="str">
        <f t="shared" si="20"/>
        <v>NA</v>
      </c>
      <c r="N680" s="8" t="str">
        <f t="shared" si="21"/>
        <v>Complete</v>
      </c>
    </row>
    <row r="681" spans="1:14" ht="40.5" customHeight="1">
      <c r="A681" s="6">
        <v>680</v>
      </c>
      <c r="B681" s="6" t="s">
        <v>1415</v>
      </c>
      <c r="C681" s="6" t="s">
        <v>1416</v>
      </c>
      <c r="D681" s="6" t="s">
        <v>122</v>
      </c>
      <c r="E681" s="6" t="s">
        <v>123</v>
      </c>
      <c r="F681" s="7" t="s">
        <v>103</v>
      </c>
      <c r="G681" s="7" t="s">
        <v>104</v>
      </c>
      <c r="H681" s="7"/>
      <c r="I681" s="7"/>
      <c r="J681" s="7" t="s">
        <v>1430</v>
      </c>
      <c r="K681" s="7" t="s">
        <v>168</v>
      </c>
      <c r="L681" s="7" t="s">
        <v>81</v>
      </c>
      <c r="M681" s="8" t="str">
        <f t="shared" si="20"/>
        <v>NA</v>
      </c>
      <c r="N681" s="8" t="str">
        <f t="shared" si="21"/>
        <v>Complete</v>
      </c>
    </row>
    <row r="682" spans="1:14" ht="27" customHeight="1">
      <c r="A682" s="6">
        <v>681</v>
      </c>
      <c r="B682" s="6" t="s">
        <v>1431</v>
      </c>
      <c r="C682" s="6" t="s">
        <v>1432</v>
      </c>
      <c r="D682" s="6" t="s">
        <v>75</v>
      </c>
      <c r="E682" s="6" t="s">
        <v>76</v>
      </c>
      <c r="F682" s="7" t="s">
        <v>77</v>
      </c>
      <c r="G682" s="7"/>
      <c r="H682" s="7" t="s">
        <v>78</v>
      </c>
      <c r="I682" s="7"/>
      <c r="J682" s="7" t="s">
        <v>1433</v>
      </c>
      <c r="K682" s="7" t="s">
        <v>1434</v>
      </c>
      <c r="L682" s="7" t="s">
        <v>111</v>
      </c>
      <c r="M682" s="8" t="str">
        <f t="shared" si="20"/>
        <v>D</v>
      </c>
      <c r="N682" s="8" t="str">
        <f t="shared" si="21"/>
        <v>Complete</v>
      </c>
    </row>
    <row r="683" spans="1:14" ht="27" customHeight="1">
      <c r="A683" s="6">
        <v>682</v>
      </c>
      <c r="B683" s="6" t="s">
        <v>1431</v>
      </c>
      <c r="C683" s="6" t="s">
        <v>1432</v>
      </c>
      <c r="D683" s="6" t="s">
        <v>82</v>
      </c>
      <c r="E683" s="6" t="s">
        <v>83</v>
      </c>
      <c r="F683" s="7" t="s">
        <v>77</v>
      </c>
      <c r="G683" s="7"/>
      <c r="H683" s="7" t="s">
        <v>88</v>
      </c>
      <c r="I683" s="7" t="s">
        <v>89</v>
      </c>
      <c r="J683" s="7" t="s">
        <v>1435</v>
      </c>
      <c r="K683" s="7" t="s">
        <v>1436</v>
      </c>
      <c r="L683" s="7" t="s">
        <v>111</v>
      </c>
      <c r="M683" s="8" t="str">
        <f t="shared" si="20"/>
        <v>R</v>
      </c>
      <c r="N683" s="8" t="str">
        <f t="shared" si="21"/>
        <v>Complete</v>
      </c>
    </row>
    <row r="684" spans="1:14" ht="40.5" customHeight="1">
      <c r="A684" s="6">
        <v>683</v>
      </c>
      <c r="B684" s="6" t="s">
        <v>1431</v>
      </c>
      <c r="C684" s="6" t="s">
        <v>1432</v>
      </c>
      <c r="D684" s="6" t="s">
        <v>86</v>
      </c>
      <c r="E684" s="6" t="s">
        <v>87</v>
      </c>
      <c r="F684" s="7" t="s">
        <v>103</v>
      </c>
      <c r="G684" s="7" t="s">
        <v>104</v>
      </c>
      <c r="H684" s="7"/>
      <c r="I684" s="7"/>
      <c r="J684" s="7" t="s">
        <v>1437</v>
      </c>
      <c r="K684" s="7" t="s">
        <v>1438</v>
      </c>
      <c r="L684" s="7" t="s">
        <v>81</v>
      </c>
      <c r="M684" s="8" t="str">
        <f t="shared" si="20"/>
        <v>NA</v>
      </c>
      <c r="N684" s="8" t="str">
        <f t="shared" si="21"/>
        <v>Complete</v>
      </c>
    </row>
    <row r="685" spans="1:14" ht="27" customHeight="1">
      <c r="A685" s="6">
        <v>684</v>
      </c>
      <c r="B685" s="6" t="s">
        <v>1431</v>
      </c>
      <c r="C685" s="6" t="s">
        <v>1432</v>
      </c>
      <c r="D685" s="6" t="s">
        <v>92</v>
      </c>
      <c r="E685" s="6" t="s">
        <v>93</v>
      </c>
      <c r="F685" s="7" t="s">
        <v>77</v>
      </c>
      <c r="G685" s="7"/>
      <c r="H685" s="7" t="s">
        <v>94</v>
      </c>
      <c r="I685" s="7"/>
      <c r="J685" s="7" t="s">
        <v>1439</v>
      </c>
      <c r="K685" s="7" t="s">
        <v>1440</v>
      </c>
      <c r="L685" s="7" t="s">
        <v>81</v>
      </c>
      <c r="M685" s="8" t="str">
        <f t="shared" si="20"/>
        <v>U</v>
      </c>
      <c r="N685" s="8" t="str">
        <f t="shared" si="21"/>
        <v>Complete</v>
      </c>
    </row>
    <row r="686" spans="1:14" ht="40.5" customHeight="1">
      <c r="A686" s="6">
        <v>685</v>
      </c>
      <c r="B686" s="6" t="s">
        <v>1431</v>
      </c>
      <c r="C686" s="6" t="s">
        <v>1432</v>
      </c>
      <c r="D686" s="6" t="s">
        <v>97</v>
      </c>
      <c r="E686" s="6" t="s">
        <v>98</v>
      </c>
      <c r="F686" s="7" t="s">
        <v>103</v>
      </c>
      <c r="G686" s="7" t="s">
        <v>104</v>
      </c>
      <c r="H686" s="7"/>
      <c r="I686" s="7"/>
      <c r="J686" s="7" t="s">
        <v>1437</v>
      </c>
      <c r="K686" s="7" t="s">
        <v>1441</v>
      </c>
      <c r="L686" s="7" t="s">
        <v>81</v>
      </c>
      <c r="M686" s="8" t="str">
        <f t="shared" si="20"/>
        <v>NA</v>
      </c>
      <c r="N686" s="8" t="str">
        <f t="shared" si="21"/>
        <v>Complete</v>
      </c>
    </row>
    <row r="687" spans="1:14" ht="40.5" customHeight="1">
      <c r="A687" s="6">
        <v>686</v>
      </c>
      <c r="B687" s="6" t="s">
        <v>1431</v>
      </c>
      <c r="C687" s="6" t="s">
        <v>1432</v>
      </c>
      <c r="D687" s="6" t="s">
        <v>101</v>
      </c>
      <c r="E687" s="6" t="s">
        <v>102</v>
      </c>
      <c r="F687" s="7" t="s">
        <v>103</v>
      </c>
      <c r="G687" s="7" t="s">
        <v>104</v>
      </c>
      <c r="H687" s="7"/>
      <c r="I687" s="7"/>
      <c r="J687" s="7" t="s">
        <v>1442</v>
      </c>
      <c r="K687" s="7" t="s">
        <v>1443</v>
      </c>
      <c r="L687" s="7" t="s">
        <v>81</v>
      </c>
      <c r="M687" s="8" t="str">
        <f t="shared" si="20"/>
        <v>NA</v>
      </c>
      <c r="N687" s="8" t="str">
        <f t="shared" si="21"/>
        <v>Complete</v>
      </c>
    </row>
    <row r="688" spans="1:14" ht="40.5" customHeight="1">
      <c r="A688" s="6">
        <v>687</v>
      </c>
      <c r="B688" s="6" t="s">
        <v>1431</v>
      </c>
      <c r="C688" s="6" t="s">
        <v>1432</v>
      </c>
      <c r="D688" s="6" t="s">
        <v>107</v>
      </c>
      <c r="E688" s="6" t="s">
        <v>108</v>
      </c>
      <c r="F688" s="7" t="s">
        <v>77</v>
      </c>
      <c r="G688" s="7"/>
      <c r="H688" s="7" t="s">
        <v>94</v>
      </c>
      <c r="I688" s="7"/>
      <c r="J688" s="7" t="s">
        <v>1444</v>
      </c>
      <c r="K688" s="7" t="s">
        <v>1445</v>
      </c>
      <c r="L688" s="7" t="s">
        <v>111</v>
      </c>
      <c r="M688" s="8" t="str">
        <f t="shared" si="20"/>
        <v>U</v>
      </c>
      <c r="N688" s="8" t="str">
        <f t="shared" si="21"/>
        <v>Complete</v>
      </c>
    </row>
    <row r="689" spans="1:14" ht="40.5" customHeight="1">
      <c r="A689" s="6">
        <v>688</v>
      </c>
      <c r="B689" s="6" t="s">
        <v>1431</v>
      </c>
      <c r="C689" s="6" t="s">
        <v>1432</v>
      </c>
      <c r="D689" s="6" t="s">
        <v>112</v>
      </c>
      <c r="E689" s="6" t="s">
        <v>113</v>
      </c>
      <c r="F689" s="7" t="s">
        <v>103</v>
      </c>
      <c r="G689" s="7" t="s">
        <v>114</v>
      </c>
      <c r="H689" s="7"/>
      <c r="I689" s="7"/>
      <c r="J689" s="7" t="s">
        <v>1446</v>
      </c>
      <c r="K689" s="7" t="s">
        <v>1447</v>
      </c>
      <c r="L689" s="7" t="s">
        <v>81</v>
      </c>
      <c r="M689" s="8" t="str">
        <f t="shared" si="20"/>
        <v>NA</v>
      </c>
      <c r="N689" s="8" t="str">
        <f t="shared" si="21"/>
        <v>Complete</v>
      </c>
    </row>
    <row r="690" spans="1:14" ht="40.5" customHeight="1">
      <c r="A690" s="6">
        <v>689</v>
      </c>
      <c r="B690" s="6" t="s">
        <v>1431</v>
      </c>
      <c r="C690" s="6" t="s">
        <v>1432</v>
      </c>
      <c r="D690" s="6" t="s">
        <v>117</v>
      </c>
      <c r="E690" s="6" t="s">
        <v>118</v>
      </c>
      <c r="F690" s="7" t="s">
        <v>103</v>
      </c>
      <c r="G690" s="7" t="s">
        <v>104</v>
      </c>
      <c r="H690" s="7"/>
      <c r="I690" s="7"/>
      <c r="J690" s="7" t="s">
        <v>1448</v>
      </c>
      <c r="K690" s="7" t="s">
        <v>1449</v>
      </c>
      <c r="L690" s="7" t="s">
        <v>81</v>
      </c>
      <c r="M690" s="8" t="str">
        <f t="shared" si="20"/>
        <v>NA</v>
      </c>
      <c r="N690" s="8" t="str">
        <f t="shared" si="21"/>
        <v>Complete</v>
      </c>
    </row>
    <row r="691" spans="1:14" ht="40.5" customHeight="1">
      <c r="A691" s="6">
        <v>690</v>
      </c>
      <c r="B691" s="6" t="s">
        <v>1431</v>
      </c>
      <c r="C691" s="6" t="s">
        <v>1432</v>
      </c>
      <c r="D691" s="6" t="s">
        <v>122</v>
      </c>
      <c r="E691" s="6" t="s">
        <v>123</v>
      </c>
      <c r="F691" s="7" t="s">
        <v>103</v>
      </c>
      <c r="G691" s="7" t="s">
        <v>104</v>
      </c>
      <c r="H691" s="7"/>
      <c r="I691" s="7"/>
      <c r="J691" s="7" t="s">
        <v>1450</v>
      </c>
      <c r="K691" s="7" t="s">
        <v>168</v>
      </c>
      <c r="L691" s="7" t="s">
        <v>81</v>
      </c>
      <c r="M691" s="8" t="str">
        <f t="shared" si="20"/>
        <v>NA</v>
      </c>
      <c r="N691" s="8" t="str">
        <f t="shared" si="21"/>
        <v>Complete</v>
      </c>
    </row>
    <row r="692" spans="1:14" ht="27" customHeight="1">
      <c r="A692" s="6">
        <v>691</v>
      </c>
      <c r="B692" s="6" t="s">
        <v>1451</v>
      </c>
      <c r="C692" s="6" t="s">
        <v>1452</v>
      </c>
      <c r="D692" s="6" t="s">
        <v>75</v>
      </c>
      <c r="E692" s="6" t="s">
        <v>76</v>
      </c>
      <c r="F692" s="7" t="s">
        <v>77</v>
      </c>
      <c r="G692" s="7"/>
      <c r="H692" s="7" t="s">
        <v>78</v>
      </c>
      <c r="I692" s="7"/>
      <c r="J692" s="7" t="s">
        <v>1453</v>
      </c>
      <c r="K692" s="7" t="s">
        <v>1454</v>
      </c>
      <c r="L692" s="7" t="s">
        <v>111</v>
      </c>
      <c r="M692" s="8" t="str">
        <f t="shared" si="20"/>
        <v>D</v>
      </c>
      <c r="N692" s="8" t="str">
        <f t="shared" si="21"/>
        <v>Complete</v>
      </c>
    </row>
    <row r="693" spans="1:14" ht="27" customHeight="1">
      <c r="A693" s="6">
        <v>692</v>
      </c>
      <c r="B693" s="6" t="s">
        <v>1451</v>
      </c>
      <c r="C693" s="6" t="s">
        <v>1452</v>
      </c>
      <c r="D693" s="6" t="s">
        <v>82</v>
      </c>
      <c r="E693" s="6" t="s">
        <v>83</v>
      </c>
      <c r="F693" s="7" t="s">
        <v>77</v>
      </c>
      <c r="G693" s="7"/>
      <c r="H693" s="7" t="s">
        <v>88</v>
      </c>
      <c r="I693" s="7" t="s">
        <v>89</v>
      </c>
      <c r="J693" s="7" t="s">
        <v>1455</v>
      </c>
      <c r="K693" s="7" t="s">
        <v>1456</v>
      </c>
      <c r="L693" s="7" t="s">
        <v>111</v>
      </c>
      <c r="M693" s="8" t="str">
        <f t="shared" si="20"/>
        <v>R</v>
      </c>
      <c r="N693" s="8" t="str">
        <f t="shared" si="21"/>
        <v>Complete</v>
      </c>
    </row>
    <row r="694" spans="1:14" ht="40.5" customHeight="1">
      <c r="A694" s="6">
        <v>693</v>
      </c>
      <c r="B694" s="6" t="s">
        <v>1451</v>
      </c>
      <c r="C694" s="6" t="s">
        <v>1452</v>
      </c>
      <c r="D694" s="6" t="s">
        <v>86</v>
      </c>
      <c r="E694" s="6" t="s">
        <v>87</v>
      </c>
      <c r="F694" s="7" t="s">
        <v>103</v>
      </c>
      <c r="G694" s="7" t="s">
        <v>104</v>
      </c>
      <c r="H694" s="7"/>
      <c r="I694" s="7"/>
      <c r="J694" s="7" t="s">
        <v>1457</v>
      </c>
      <c r="K694" s="7" t="s">
        <v>1438</v>
      </c>
      <c r="L694" s="7" t="s">
        <v>81</v>
      </c>
      <c r="M694" s="8" t="str">
        <f t="shared" si="20"/>
        <v>NA</v>
      </c>
      <c r="N694" s="8" t="str">
        <f t="shared" si="21"/>
        <v>Complete</v>
      </c>
    </row>
    <row r="695" spans="1:14" ht="27" customHeight="1">
      <c r="A695" s="6">
        <v>694</v>
      </c>
      <c r="B695" s="6" t="s">
        <v>1451</v>
      </c>
      <c r="C695" s="6" t="s">
        <v>1452</v>
      </c>
      <c r="D695" s="6" t="s">
        <v>92</v>
      </c>
      <c r="E695" s="6" t="s">
        <v>93</v>
      </c>
      <c r="F695" s="7" t="s">
        <v>77</v>
      </c>
      <c r="G695" s="7"/>
      <c r="H695" s="7" t="s">
        <v>88</v>
      </c>
      <c r="I695" s="7" t="s">
        <v>89</v>
      </c>
      <c r="J695" s="7" t="s">
        <v>1458</v>
      </c>
      <c r="K695" s="7" t="s">
        <v>1459</v>
      </c>
      <c r="L695" s="7" t="s">
        <v>81</v>
      </c>
      <c r="M695" s="8" t="str">
        <f t="shared" si="20"/>
        <v>R</v>
      </c>
      <c r="N695" s="8" t="str">
        <f t="shared" si="21"/>
        <v>Complete</v>
      </c>
    </row>
    <row r="696" spans="1:14" ht="40.5" customHeight="1">
      <c r="A696" s="6">
        <v>695</v>
      </c>
      <c r="B696" s="6" t="s">
        <v>1451</v>
      </c>
      <c r="C696" s="6" t="s">
        <v>1452</v>
      </c>
      <c r="D696" s="6" t="s">
        <v>97</v>
      </c>
      <c r="E696" s="6" t="s">
        <v>98</v>
      </c>
      <c r="F696" s="7" t="s">
        <v>103</v>
      </c>
      <c r="G696" s="7" t="s">
        <v>104</v>
      </c>
      <c r="H696" s="7"/>
      <c r="I696" s="7"/>
      <c r="J696" s="7" t="s">
        <v>1460</v>
      </c>
      <c r="K696" s="7" t="s">
        <v>1441</v>
      </c>
      <c r="L696" s="7" t="s">
        <v>81</v>
      </c>
      <c r="M696" s="8" t="str">
        <f t="shared" si="20"/>
        <v>NA</v>
      </c>
      <c r="N696" s="8" t="str">
        <f t="shared" si="21"/>
        <v>Complete</v>
      </c>
    </row>
    <row r="697" spans="1:14" ht="40.5" customHeight="1">
      <c r="A697" s="6">
        <v>696</v>
      </c>
      <c r="B697" s="6" t="s">
        <v>1451</v>
      </c>
      <c r="C697" s="6" t="s">
        <v>1452</v>
      </c>
      <c r="D697" s="6" t="s">
        <v>101</v>
      </c>
      <c r="E697" s="6" t="s">
        <v>102</v>
      </c>
      <c r="F697" s="7" t="s">
        <v>103</v>
      </c>
      <c r="G697" s="7" t="s">
        <v>104</v>
      </c>
      <c r="H697" s="7"/>
      <c r="I697" s="7"/>
      <c r="J697" s="7" t="s">
        <v>1461</v>
      </c>
      <c r="K697" s="7" t="s">
        <v>407</v>
      </c>
      <c r="L697" s="7" t="s">
        <v>81</v>
      </c>
      <c r="M697" s="8" t="str">
        <f t="shared" si="20"/>
        <v>NA</v>
      </c>
      <c r="N697" s="8" t="str">
        <f t="shared" si="21"/>
        <v>Complete</v>
      </c>
    </row>
    <row r="698" spans="1:14" ht="27" customHeight="1">
      <c r="A698" s="6">
        <v>697</v>
      </c>
      <c r="B698" s="6" t="s">
        <v>1451</v>
      </c>
      <c r="C698" s="6" t="s">
        <v>1452</v>
      </c>
      <c r="D698" s="6" t="s">
        <v>107</v>
      </c>
      <c r="E698" s="6" t="s">
        <v>108</v>
      </c>
      <c r="F698" s="7" t="s">
        <v>77</v>
      </c>
      <c r="G698" s="7"/>
      <c r="H698" s="7" t="s">
        <v>94</v>
      </c>
      <c r="I698" s="7"/>
      <c r="J698" s="7" t="s">
        <v>1462</v>
      </c>
      <c r="K698" s="7" t="s">
        <v>1463</v>
      </c>
      <c r="L698" s="7" t="s">
        <v>111</v>
      </c>
      <c r="M698" s="8" t="str">
        <f t="shared" si="20"/>
        <v>U</v>
      </c>
      <c r="N698" s="8" t="str">
        <f t="shared" si="21"/>
        <v>Complete</v>
      </c>
    </row>
    <row r="699" spans="1:14" ht="40.5" customHeight="1">
      <c r="A699" s="6">
        <v>698</v>
      </c>
      <c r="B699" s="6" t="s">
        <v>1451</v>
      </c>
      <c r="C699" s="6" t="s">
        <v>1452</v>
      </c>
      <c r="D699" s="6" t="s">
        <v>112</v>
      </c>
      <c r="E699" s="6" t="s">
        <v>113</v>
      </c>
      <c r="F699" s="7" t="s">
        <v>103</v>
      </c>
      <c r="G699" s="7" t="s">
        <v>114</v>
      </c>
      <c r="H699" s="7"/>
      <c r="I699" s="7"/>
      <c r="J699" s="7" t="s">
        <v>1464</v>
      </c>
      <c r="K699" s="7" t="s">
        <v>1447</v>
      </c>
      <c r="L699" s="7" t="s">
        <v>81</v>
      </c>
      <c r="M699" s="8" t="str">
        <f t="shared" si="20"/>
        <v>NA</v>
      </c>
      <c r="N699" s="8" t="str">
        <f t="shared" si="21"/>
        <v>Complete</v>
      </c>
    </row>
    <row r="700" spans="1:14" ht="40.5" customHeight="1">
      <c r="A700" s="6">
        <v>699</v>
      </c>
      <c r="B700" s="6" t="s">
        <v>1451</v>
      </c>
      <c r="C700" s="6" t="s">
        <v>1452</v>
      </c>
      <c r="D700" s="6" t="s">
        <v>117</v>
      </c>
      <c r="E700" s="6" t="s">
        <v>118</v>
      </c>
      <c r="F700" s="7" t="s">
        <v>103</v>
      </c>
      <c r="G700" s="7" t="s">
        <v>104</v>
      </c>
      <c r="H700" s="7"/>
      <c r="I700" s="7"/>
      <c r="J700" s="7" t="s">
        <v>1460</v>
      </c>
      <c r="K700" s="7" t="s">
        <v>1465</v>
      </c>
      <c r="L700" s="7" t="s">
        <v>81</v>
      </c>
      <c r="M700" s="8" t="str">
        <f t="shared" si="20"/>
        <v>NA</v>
      </c>
      <c r="N700" s="8" t="str">
        <f t="shared" si="21"/>
        <v>Complete</v>
      </c>
    </row>
    <row r="701" spans="1:14" ht="40.5" customHeight="1">
      <c r="A701" s="6">
        <v>700</v>
      </c>
      <c r="B701" s="6" t="s">
        <v>1451</v>
      </c>
      <c r="C701" s="6" t="s">
        <v>1452</v>
      </c>
      <c r="D701" s="6" t="s">
        <v>122</v>
      </c>
      <c r="E701" s="6" t="s">
        <v>123</v>
      </c>
      <c r="F701" s="7" t="s">
        <v>103</v>
      </c>
      <c r="G701" s="7" t="s">
        <v>104</v>
      </c>
      <c r="H701" s="7"/>
      <c r="I701" s="7"/>
      <c r="J701" s="7" t="s">
        <v>1466</v>
      </c>
      <c r="K701" s="7" t="s">
        <v>168</v>
      </c>
      <c r="L701" s="7" t="s">
        <v>81</v>
      </c>
      <c r="M701" s="8" t="str">
        <f t="shared" si="20"/>
        <v>NA</v>
      </c>
      <c r="N701" s="8" t="str">
        <f t="shared" si="21"/>
        <v>Complete</v>
      </c>
    </row>
    <row r="702" spans="1:14" ht="27" customHeight="1">
      <c r="A702" s="6">
        <v>701</v>
      </c>
      <c r="B702" s="6" t="s">
        <v>1467</v>
      </c>
      <c r="C702" s="6" t="s">
        <v>1468</v>
      </c>
      <c r="D702" s="6" t="s">
        <v>75</v>
      </c>
      <c r="E702" s="6" t="s">
        <v>76</v>
      </c>
      <c r="F702" s="7" t="s">
        <v>77</v>
      </c>
      <c r="G702" s="7"/>
      <c r="H702" s="7" t="s">
        <v>78</v>
      </c>
      <c r="I702" s="7"/>
      <c r="J702" s="7" t="s">
        <v>1469</v>
      </c>
      <c r="K702" s="7" t="s">
        <v>1470</v>
      </c>
      <c r="L702" s="7" t="s">
        <v>81</v>
      </c>
      <c r="M702" s="8" t="str">
        <f t="shared" si="20"/>
        <v>D</v>
      </c>
      <c r="N702" s="8" t="str">
        <f t="shared" si="21"/>
        <v>Complete</v>
      </c>
    </row>
    <row r="703" spans="1:14" ht="27" customHeight="1">
      <c r="A703" s="6">
        <v>702</v>
      </c>
      <c r="B703" s="6" t="s">
        <v>1467</v>
      </c>
      <c r="C703" s="6" t="s">
        <v>1468</v>
      </c>
      <c r="D703" s="6" t="s">
        <v>82</v>
      </c>
      <c r="E703" s="6" t="s">
        <v>83</v>
      </c>
      <c r="F703" s="7" t="s">
        <v>77</v>
      </c>
      <c r="G703" s="7"/>
      <c r="H703" s="7" t="s">
        <v>78</v>
      </c>
      <c r="I703" s="7"/>
      <c r="J703" s="7" t="s">
        <v>1471</v>
      </c>
      <c r="K703" s="7" t="s">
        <v>1472</v>
      </c>
      <c r="L703" s="7" t="s">
        <v>81</v>
      </c>
      <c r="M703" s="8" t="str">
        <f t="shared" si="20"/>
        <v>D</v>
      </c>
      <c r="N703" s="8" t="str">
        <f t="shared" si="21"/>
        <v>Complete</v>
      </c>
    </row>
    <row r="704" spans="1:14" ht="27" customHeight="1">
      <c r="A704" s="6">
        <v>703</v>
      </c>
      <c r="B704" s="6" t="s">
        <v>1467</v>
      </c>
      <c r="C704" s="6" t="s">
        <v>1468</v>
      </c>
      <c r="D704" s="6" t="s">
        <v>86</v>
      </c>
      <c r="E704" s="6" t="s">
        <v>87</v>
      </c>
      <c r="F704" s="7" t="s">
        <v>77</v>
      </c>
      <c r="G704" s="7"/>
      <c r="H704" s="7" t="s">
        <v>88</v>
      </c>
      <c r="I704" s="7" t="s">
        <v>89</v>
      </c>
      <c r="J704" s="7" t="s">
        <v>1473</v>
      </c>
      <c r="K704" s="7" t="s">
        <v>1474</v>
      </c>
      <c r="L704" s="7" t="s">
        <v>111</v>
      </c>
      <c r="M704" s="8" t="str">
        <f t="shared" si="20"/>
        <v>R</v>
      </c>
      <c r="N704" s="8" t="str">
        <f t="shared" si="21"/>
        <v>Complete</v>
      </c>
    </row>
    <row r="705" spans="1:14" ht="27" customHeight="1">
      <c r="A705" s="6">
        <v>704</v>
      </c>
      <c r="B705" s="6" t="s">
        <v>1467</v>
      </c>
      <c r="C705" s="6" t="s">
        <v>1468</v>
      </c>
      <c r="D705" s="6" t="s">
        <v>92</v>
      </c>
      <c r="E705" s="6" t="s">
        <v>93</v>
      </c>
      <c r="F705" s="7" t="s">
        <v>77</v>
      </c>
      <c r="G705" s="7"/>
      <c r="H705" s="7" t="s">
        <v>78</v>
      </c>
      <c r="I705" s="7"/>
      <c r="J705" s="7" t="s">
        <v>1475</v>
      </c>
      <c r="K705" s="7" t="s">
        <v>1476</v>
      </c>
      <c r="L705" s="7" t="s">
        <v>81</v>
      </c>
      <c r="M705" s="8" t="str">
        <f t="shared" si="20"/>
        <v>D</v>
      </c>
      <c r="N705" s="8" t="str">
        <f t="shared" si="21"/>
        <v>Complete</v>
      </c>
    </row>
    <row r="706" spans="1:14" ht="40.5" customHeight="1">
      <c r="A706" s="6">
        <v>705</v>
      </c>
      <c r="B706" s="6" t="s">
        <v>1467</v>
      </c>
      <c r="C706" s="6" t="s">
        <v>1468</v>
      </c>
      <c r="D706" s="6" t="s">
        <v>97</v>
      </c>
      <c r="E706" s="6" t="s">
        <v>98</v>
      </c>
      <c r="F706" s="7" t="s">
        <v>103</v>
      </c>
      <c r="G706" s="7" t="s">
        <v>104</v>
      </c>
      <c r="H706" s="7"/>
      <c r="I706" s="7"/>
      <c r="J706" s="7" t="s">
        <v>1477</v>
      </c>
      <c r="K706" s="7" t="s">
        <v>1478</v>
      </c>
      <c r="L706" s="7" t="s">
        <v>81</v>
      </c>
      <c r="M706" s="8" t="str">
        <f t="shared" ref="M706:M741" si="22">IF(F706="Not applicable","NA",IF(F706="Applicable",IF(H706="","",H706),""))</f>
        <v>NA</v>
      </c>
      <c r="N706" s="8" t="str">
        <f t="shared" ref="N706:N741" si="23">IF(F706="","Applicability missing",IF(AND(F706="Applicable",H706=""),"Record status missing",IF(AND(F706="Applicable",G706&lt;&gt;""),"Boundary strength must be blank for applicable rows",IF(AND(F706="Not applicable",G706=""),"Boundary strength missing",IF(AND(F706="Not applicable",H706&lt;&gt;""),"Record status must be blank for not-applicable rows",IF(AND(H706="R",I706=""),"Recovery stability missing",IF(J706="","Evidence location missing","Complete")))))))</f>
        <v>Complete</v>
      </c>
    </row>
    <row r="707" spans="1:14" ht="27" customHeight="1">
      <c r="A707" s="6">
        <v>706</v>
      </c>
      <c r="B707" s="6" t="s">
        <v>1467</v>
      </c>
      <c r="C707" s="6" t="s">
        <v>1468</v>
      </c>
      <c r="D707" s="6" t="s">
        <v>101</v>
      </c>
      <c r="E707" s="6" t="s">
        <v>102</v>
      </c>
      <c r="F707" s="7" t="s">
        <v>77</v>
      </c>
      <c r="G707" s="7"/>
      <c r="H707" s="7" t="s">
        <v>94</v>
      </c>
      <c r="I707" s="7"/>
      <c r="J707" s="7" t="s">
        <v>1479</v>
      </c>
      <c r="K707" s="7" t="s">
        <v>1480</v>
      </c>
      <c r="L707" s="7" t="s">
        <v>81</v>
      </c>
      <c r="M707" s="8" t="str">
        <f t="shared" si="22"/>
        <v>U</v>
      </c>
      <c r="N707" s="8" t="str">
        <f t="shared" si="23"/>
        <v>Complete</v>
      </c>
    </row>
    <row r="708" spans="1:14" ht="27" customHeight="1">
      <c r="A708" s="6">
        <v>707</v>
      </c>
      <c r="B708" s="6" t="s">
        <v>1467</v>
      </c>
      <c r="C708" s="6" t="s">
        <v>1468</v>
      </c>
      <c r="D708" s="6" t="s">
        <v>107</v>
      </c>
      <c r="E708" s="6" t="s">
        <v>108</v>
      </c>
      <c r="F708" s="7" t="s">
        <v>77</v>
      </c>
      <c r="G708" s="7"/>
      <c r="H708" s="7" t="s">
        <v>94</v>
      </c>
      <c r="I708" s="7"/>
      <c r="J708" s="7" t="s">
        <v>1481</v>
      </c>
      <c r="K708" s="7" t="s">
        <v>1482</v>
      </c>
      <c r="L708" s="7" t="s">
        <v>81</v>
      </c>
      <c r="M708" s="8" t="str">
        <f t="shared" si="22"/>
        <v>U</v>
      </c>
      <c r="N708" s="8" t="str">
        <f t="shared" si="23"/>
        <v>Complete</v>
      </c>
    </row>
    <row r="709" spans="1:14" ht="40.5" customHeight="1">
      <c r="A709" s="6">
        <v>708</v>
      </c>
      <c r="B709" s="6" t="s">
        <v>1467</v>
      </c>
      <c r="C709" s="6" t="s">
        <v>1468</v>
      </c>
      <c r="D709" s="6" t="s">
        <v>112</v>
      </c>
      <c r="E709" s="6" t="s">
        <v>113</v>
      </c>
      <c r="F709" s="7" t="s">
        <v>103</v>
      </c>
      <c r="G709" s="7" t="s">
        <v>114</v>
      </c>
      <c r="H709" s="7"/>
      <c r="I709" s="7"/>
      <c r="J709" s="7" t="s">
        <v>1483</v>
      </c>
      <c r="K709" s="7" t="s">
        <v>184</v>
      </c>
      <c r="L709" s="7" t="s">
        <v>132</v>
      </c>
      <c r="M709" s="8" t="str">
        <f t="shared" si="22"/>
        <v>NA</v>
      </c>
      <c r="N709" s="8" t="str">
        <f t="shared" si="23"/>
        <v>Complete</v>
      </c>
    </row>
    <row r="710" spans="1:14" ht="27" customHeight="1">
      <c r="A710" s="6">
        <v>709</v>
      </c>
      <c r="B710" s="6" t="s">
        <v>1467</v>
      </c>
      <c r="C710" s="6" t="s">
        <v>1468</v>
      </c>
      <c r="D710" s="6" t="s">
        <v>117</v>
      </c>
      <c r="E710" s="6" t="s">
        <v>118</v>
      </c>
      <c r="F710" s="7" t="s">
        <v>77</v>
      </c>
      <c r="G710" s="7"/>
      <c r="H710" s="7" t="s">
        <v>94</v>
      </c>
      <c r="I710" s="7"/>
      <c r="J710" s="7" t="s">
        <v>1484</v>
      </c>
      <c r="K710" s="7" t="s">
        <v>1485</v>
      </c>
      <c r="L710" s="7" t="s">
        <v>81</v>
      </c>
      <c r="M710" s="8" t="str">
        <f t="shared" si="22"/>
        <v>U</v>
      </c>
      <c r="N710" s="8" t="str">
        <f t="shared" si="23"/>
        <v>Complete</v>
      </c>
    </row>
    <row r="711" spans="1:14" ht="40.5" customHeight="1">
      <c r="A711" s="6">
        <v>710</v>
      </c>
      <c r="B711" s="6" t="s">
        <v>1467</v>
      </c>
      <c r="C711" s="6" t="s">
        <v>1468</v>
      </c>
      <c r="D711" s="6" t="s">
        <v>122</v>
      </c>
      <c r="E711" s="6" t="s">
        <v>123</v>
      </c>
      <c r="F711" s="7" t="s">
        <v>103</v>
      </c>
      <c r="G711" s="7" t="s">
        <v>104</v>
      </c>
      <c r="H711" s="7"/>
      <c r="I711" s="7"/>
      <c r="J711" s="7" t="s">
        <v>1486</v>
      </c>
      <c r="K711" s="7" t="s">
        <v>1487</v>
      </c>
      <c r="L711" s="7" t="s">
        <v>81</v>
      </c>
      <c r="M711" s="8" t="str">
        <f t="shared" si="22"/>
        <v>NA</v>
      </c>
      <c r="N711" s="8" t="str">
        <f t="shared" si="23"/>
        <v>Complete</v>
      </c>
    </row>
    <row r="712" spans="1:14" ht="27" customHeight="1">
      <c r="A712" s="6">
        <v>711</v>
      </c>
      <c r="B712" s="6" t="s">
        <v>1488</v>
      </c>
      <c r="C712" s="6" t="s">
        <v>1489</v>
      </c>
      <c r="D712" s="6" t="s">
        <v>75</v>
      </c>
      <c r="E712" s="6" t="s">
        <v>76</v>
      </c>
      <c r="F712" s="7" t="s">
        <v>77</v>
      </c>
      <c r="G712" s="7"/>
      <c r="H712" s="7" t="s">
        <v>78</v>
      </c>
      <c r="I712" s="7"/>
      <c r="J712" s="7" t="s">
        <v>1490</v>
      </c>
      <c r="K712" s="7" t="s">
        <v>1491</v>
      </c>
      <c r="L712" s="7" t="s">
        <v>132</v>
      </c>
      <c r="M712" s="8" t="str">
        <f t="shared" si="22"/>
        <v>D</v>
      </c>
      <c r="N712" s="8" t="str">
        <f t="shared" si="23"/>
        <v>Complete</v>
      </c>
    </row>
    <row r="713" spans="1:14" ht="27" customHeight="1">
      <c r="A713" s="6">
        <v>712</v>
      </c>
      <c r="B713" s="6" t="s">
        <v>1488</v>
      </c>
      <c r="C713" s="6" t="s">
        <v>1489</v>
      </c>
      <c r="D713" s="6" t="s">
        <v>82</v>
      </c>
      <c r="E713" s="6" t="s">
        <v>83</v>
      </c>
      <c r="F713" s="7" t="s">
        <v>77</v>
      </c>
      <c r="G713" s="7"/>
      <c r="H713" s="7" t="s">
        <v>88</v>
      </c>
      <c r="I713" s="7" t="s">
        <v>89</v>
      </c>
      <c r="J713" s="7" t="s">
        <v>1492</v>
      </c>
      <c r="K713" s="7" t="s">
        <v>1493</v>
      </c>
      <c r="L713" s="7" t="s">
        <v>81</v>
      </c>
      <c r="M713" s="8" t="str">
        <f t="shared" si="22"/>
        <v>R</v>
      </c>
      <c r="N713" s="8" t="str">
        <f t="shared" si="23"/>
        <v>Complete</v>
      </c>
    </row>
    <row r="714" spans="1:14" ht="40.5" customHeight="1">
      <c r="A714" s="6">
        <v>713</v>
      </c>
      <c r="B714" s="6" t="s">
        <v>1488</v>
      </c>
      <c r="C714" s="6" t="s">
        <v>1489</v>
      </c>
      <c r="D714" s="6" t="s">
        <v>86</v>
      </c>
      <c r="E714" s="6" t="s">
        <v>87</v>
      </c>
      <c r="F714" s="7" t="s">
        <v>77</v>
      </c>
      <c r="G714" s="7"/>
      <c r="H714" s="7" t="s">
        <v>88</v>
      </c>
      <c r="I714" s="7" t="s">
        <v>119</v>
      </c>
      <c r="J714" s="7" t="s">
        <v>1494</v>
      </c>
      <c r="K714" s="7" t="s">
        <v>1495</v>
      </c>
      <c r="L714" s="7" t="s">
        <v>81</v>
      </c>
      <c r="M714" s="8" t="str">
        <f t="shared" si="22"/>
        <v>R</v>
      </c>
      <c r="N714" s="8" t="str">
        <f t="shared" si="23"/>
        <v>Complete</v>
      </c>
    </row>
    <row r="715" spans="1:14" ht="27" customHeight="1">
      <c r="A715" s="6">
        <v>714</v>
      </c>
      <c r="B715" s="6" t="s">
        <v>1488</v>
      </c>
      <c r="C715" s="6" t="s">
        <v>1489</v>
      </c>
      <c r="D715" s="6" t="s">
        <v>92</v>
      </c>
      <c r="E715" s="6" t="s">
        <v>93</v>
      </c>
      <c r="F715" s="7" t="s">
        <v>77</v>
      </c>
      <c r="G715" s="7"/>
      <c r="H715" s="7" t="s">
        <v>88</v>
      </c>
      <c r="I715" s="7" t="s">
        <v>119</v>
      </c>
      <c r="J715" s="7" t="s">
        <v>1496</v>
      </c>
      <c r="K715" s="7" t="s">
        <v>1497</v>
      </c>
      <c r="L715" s="7" t="s">
        <v>111</v>
      </c>
      <c r="M715" s="8" t="str">
        <f t="shared" si="22"/>
        <v>R</v>
      </c>
      <c r="N715" s="8" t="str">
        <f t="shared" si="23"/>
        <v>Complete</v>
      </c>
    </row>
    <row r="716" spans="1:14" ht="27" customHeight="1">
      <c r="A716" s="6">
        <v>715</v>
      </c>
      <c r="B716" s="6" t="s">
        <v>1488</v>
      </c>
      <c r="C716" s="6" t="s">
        <v>1489</v>
      </c>
      <c r="D716" s="6" t="s">
        <v>97</v>
      </c>
      <c r="E716" s="6" t="s">
        <v>98</v>
      </c>
      <c r="F716" s="7" t="s">
        <v>77</v>
      </c>
      <c r="G716" s="7"/>
      <c r="H716" s="7" t="s">
        <v>88</v>
      </c>
      <c r="I716" s="7" t="s">
        <v>119</v>
      </c>
      <c r="J716" s="7" t="s">
        <v>1498</v>
      </c>
      <c r="K716" s="7" t="s">
        <v>1499</v>
      </c>
      <c r="L716" s="7" t="s">
        <v>111</v>
      </c>
      <c r="M716" s="8" t="str">
        <f t="shared" si="22"/>
        <v>R</v>
      </c>
      <c r="N716" s="8" t="str">
        <f t="shared" si="23"/>
        <v>Complete</v>
      </c>
    </row>
    <row r="717" spans="1:14" ht="27" customHeight="1">
      <c r="A717" s="6">
        <v>716</v>
      </c>
      <c r="B717" s="6" t="s">
        <v>1488</v>
      </c>
      <c r="C717" s="6" t="s">
        <v>1489</v>
      </c>
      <c r="D717" s="6" t="s">
        <v>101</v>
      </c>
      <c r="E717" s="6" t="s">
        <v>102</v>
      </c>
      <c r="F717" s="7" t="s">
        <v>77</v>
      </c>
      <c r="G717" s="7"/>
      <c r="H717" s="7" t="s">
        <v>94</v>
      </c>
      <c r="I717" s="7"/>
      <c r="J717" s="7" t="s">
        <v>1500</v>
      </c>
      <c r="K717" s="7" t="s">
        <v>1501</v>
      </c>
      <c r="L717" s="7" t="s">
        <v>81</v>
      </c>
      <c r="M717" s="8" t="str">
        <f t="shared" si="22"/>
        <v>U</v>
      </c>
      <c r="N717" s="8" t="str">
        <f t="shared" si="23"/>
        <v>Complete</v>
      </c>
    </row>
    <row r="718" spans="1:14" ht="27" customHeight="1">
      <c r="A718" s="6">
        <v>717</v>
      </c>
      <c r="B718" s="6" t="s">
        <v>1488</v>
      </c>
      <c r="C718" s="6" t="s">
        <v>1489</v>
      </c>
      <c r="D718" s="6" t="s">
        <v>107</v>
      </c>
      <c r="E718" s="6" t="s">
        <v>108</v>
      </c>
      <c r="F718" s="7" t="s">
        <v>77</v>
      </c>
      <c r="G718" s="7"/>
      <c r="H718" s="7" t="s">
        <v>94</v>
      </c>
      <c r="I718" s="7"/>
      <c r="J718" s="7" t="s">
        <v>1502</v>
      </c>
      <c r="K718" s="7" t="s">
        <v>1503</v>
      </c>
      <c r="L718" s="7" t="s">
        <v>81</v>
      </c>
      <c r="M718" s="8" t="str">
        <f t="shared" si="22"/>
        <v>U</v>
      </c>
      <c r="N718" s="8" t="str">
        <f t="shared" si="23"/>
        <v>Complete</v>
      </c>
    </row>
    <row r="719" spans="1:14" ht="40.5" customHeight="1">
      <c r="A719" s="6">
        <v>718</v>
      </c>
      <c r="B719" s="6" t="s">
        <v>1488</v>
      </c>
      <c r="C719" s="6" t="s">
        <v>1489</v>
      </c>
      <c r="D719" s="6" t="s">
        <v>112</v>
      </c>
      <c r="E719" s="6" t="s">
        <v>113</v>
      </c>
      <c r="F719" s="7" t="s">
        <v>103</v>
      </c>
      <c r="G719" s="7" t="s">
        <v>114</v>
      </c>
      <c r="H719" s="7"/>
      <c r="I719" s="7"/>
      <c r="J719" s="7" t="s">
        <v>1504</v>
      </c>
      <c r="K719" s="7" t="s">
        <v>1505</v>
      </c>
      <c r="L719" s="7" t="s">
        <v>132</v>
      </c>
      <c r="M719" s="8" t="str">
        <f t="shared" si="22"/>
        <v>NA</v>
      </c>
      <c r="N719" s="8" t="str">
        <f t="shared" si="23"/>
        <v>Complete</v>
      </c>
    </row>
    <row r="720" spans="1:14" ht="40.5" customHeight="1">
      <c r="A720" s="6">
        <v>719</v>
      </c>
      <c r="B720" s="6" t="s">
        <v>1488</v>
      </c>
      <c r="C720" s="6" t="s">
        <v>1489</v>
      </c>
      <c r="D720" s="6" t="s">
        <v>117</v>
      </c>
      <c r="E720" s="6" t="s">
        <v>118</v>
      </c>
      <c r="F720" s="7" t="s">
        <v>103</v>
      </c>
      <c r="G720" s="7" t="s">
        <v>104</v>
      </c>
      <c r="H720" s="7"/>
      <c r="I720" s="7"/>
      <c r="J720" s="7" t="s">
        <v>1506</v>
      </c>
      <c r="K720" s="7" t="s">
        <v>1507</v>
      </c>
      <c r="L720" s="7" t="s">
        <v>81</v>
      </c>
      <c r="M720" s="8" t="str">
        <f t="shared" si="22"/>
        <v>NA</v>
      </c>
      <c r="N720" s="8" t="str">
        <f t="shared" si="23"/>
        <v>Complete</v>
      </c>
    </row>
    <row r="721" spans="1:14" ht="40.5" customHeight="1">
      <c r="A721" s="6">
        <v>720</v>
      </c>
      <c r="B721" s="6" t="s">
        <v>1488</v>
      </c>
      <c r="C721" s="6" t="s">
        <v>1489</v>
      </c>
      <c r="D721" s="6" t="s">
        <v>122</v>
      </c>
      <c r="E721" s="6" t="s">
        <v>123</v>
      </c>
      <c r="F721" s="7" t="s">
        <v>103</v>
      </c>
      <c r="G721" s="7" t="s">
        <v>104</v>
      </c>
      <c r="H721" s="7"/>
      <c r="I721" s="7"/>
      <c r="J721" s="7" t="s">
        <v>1508</v>
      </c>
      <c r="K721" s="7" t="s">
        <v>168</v>
      </c>
      <c r="L721" s="7" t="s">
        <v>81</v>
      </c>
      <c r="M721" s="8" t="str">
        <f t="shared" si="22"/>
        <v>NA</v>
      </c>
      <c r="N721" s="8" t="str">
        <f t="shared" si="23"/>
        <v>Complete</v>
      </c>
    </row>
    <row r="722" spans="1:14" ht="27" customHeight="1">
      <c r="A722" s="6">
        <v>721</v>
      </c>
      <c r="B722" s="6" t="s">
        <v>1509</v>
      </c>
      <c r="C722" s="6" t="s">
        <v>1510</v>
      </c>
      <c r="D722" s="6" t="s">
        <v>75</v>
      </c>
      <c r="E722" s="6" t="s">
        <v>76</v>
      </c>
      <c r="F722" s="7" t="s">
        <v>77</v>
      </c>
      <c r="G722" s="7"/>
      <c r="H722" s="7" t="s">
        <v>78</v>
      </c>
      <c r="I722" s="7"/>
      <c r="J722" s="7" t="s">
        <v>1511</v>
      </c>
      <c r="K722" s="7" t="s">
        <v>1512</v>
      </c>
      <c r="L722" s="7" t="s">
        <v>81</v>
      </c>
      <c r="M722" s="8" t="str">
        <f t="shared" si="22"/>
        <v>D</v>
      </c>
      <c r="N722" s="8" t="str">
        <f t="shared" si="23"/>
        <v>Complete</v>
      </c>
    </row>
    <row r="723" spans="1:14" ht="27" customHeight="1">
      <c r="A723" s="6">
        <v>722</v>
      </c>
      <c r="B723" s="6" t="s">
        <v>1509</v>
      </c>
      <c r="C723" s="6" t="s">
        <v>1510</v>
      </c>
      <c r="D723" s="6" t="s">
        <v>82</v>
      </c>
      <c r="E723" s="6" t="s">
        <v>83</v>
      </c>
      <c r="F723" s="7" t="s">
        <v>77</v>
      </c>
      <c r="G723" s="7"/>
      <c r="H723" s="7" t="s">
        <v>88</v>
      </c>
      <c r="I723" s="7" t="s">
        <v>89</v>
      </c>
      <c r="J723" s="7" t="s">
        <v>1513</v>
      </c>
      <c r="K723" s="7" t="s">
        <v>1514</v>
      </c>
      <c r="L723" s="7" t="s">
        <v>81</v>
      </c>
      <c r="M723" s="8" t="str">
        <f t="shared" si="22"/>
        <v>R</v>
      </c>
      <c r="N723" s="8" t="str">
        <f t="shared" si="23"/>
        <v>Complete</v>
      </c>
    </row>
    <row r="724" spans="1:14" ht="27" customHeight="1">
      <c r="A724" s="6">
        <v>723</v>
      </c>
      <c r="B724" s="6" t="s">
        <v>1509</v>
      </c>
      <c r="C724" s="6" t="s">
        <v>1510</v>
      </c>
      <c r="D724" s="6" t="s">
        <v>86</v>
      </c>
      <c r="E724" s="6" t="s">
        <v>87</v>
      </c>
      <c r="F724" s="7" t="s">
        <v>77</v>
      </c>
      <c r="G724" s="7"/>
      <c r="H724" s="7" t="s">
        <v>94</v>
      </c>
      <c r="I724" s="7"/>
      <c r="J724" s="7" t="s">
        <v>1515</v>
      </c>
      <c r="K724" s="7" t="s">
        <v>1516</v>
      </c>
      <c r="L724" s="7" t="s">
        <v>81</v>
      </c>
      <c r="M724" s="8" t="str">
        <f t="shared" si="22"/>
        <v>U</v>
      </c>
      <c r="N724" s="8" t="str">
        <f t="shared" si="23"/>
        <v>Complete</v>
      </c>
    </row>
    <row r="725" spans="1:14" ht="27" customHeight="1">
      <c r="A725" s="6">
        <v>724</v>
      </c>
      <c r="B725" s="6" t="s">
        <v>1509</v>
      </c>
      <c r="C725" s="6" t="s">
        <v>1510</v>
      </c>
      <c r="D725" s="6" t="s">
        <v>92</v>
      </c>
      <c r="E725" s="6" t="s">
        <v>93</v>
      </c>
      <c r="F725" s="7" t="s">
        <v>77</v>
      </c>
      <c r="G725" s="7"/>
      <c r="H725" s="7" t="s">
        <v>94</v>
      </c>
      <c r="I725" s="7"/>
      <c r="J725" s="7" t="s">
        <v>1517</v>
      </c>
      <c r="K725" s="7" t="s">
        <v>1518</v>
      </c>
      <c r="L725" s="7" t="s">
        <v>81</v>
      </c>
      <c r="M725" s="8" t="str">
        <f t="shared" si="22"/>
        <v>U</v>
      </c>
      <c r="N725" s="8" t="str">
        <f t="shared" si="23"/>
        <v>Complete</v>
      </c>
    </row>
    <row r="726" spans="1:14" ht="27" customHeight="1">
      <c r="A726" s="6">
        <v>725</v>
      </c>
      <c r="B726" s="6" t="s">
        <v>1509</v>
      </c>
      <c r="C726" s="6" t="s">
        <v>1510</v>
      </c>
      <c r="D726" s="6" t="s">
        <v>97</v>
      </c>
      <c r="E726" s="6" t="s">
        <v>98</v>
      </c>
      <c r="F726" s="7" t="s">
        <v>77</v>
      </c>
      <c r="G726" s="7"/>
      <c r="H726" s="7" t="s">
        <v>94</v>
      </c>
      <c r="I726" s="7"/>
      <c r="J726" s="7" t="s">
        <v>1511</v>
      </c>
      <c r="K726" s="7" t="s">
        <v>637</v>
      </c>
      <c r="L726" s="7" t="s">
        <v>81</v>
      </c>
      <c r="M726" s="8" t="str">
        <f t="shared" si="22"/>
        <v>U</v>
      </c>
      <c r="N726" s="8" t="str">
        <f t="shared" si="23"/>
        <v>Complete</v>
      </c>
    </row>
    <row r="727" spans="1:14" ht="40.5" customHeight="1">
      <c r="A727" s="6">
        <v>726</v>
      </c>
      <c r="B727" s="6" t="s">
        <v>1509</v>
      </c>
      <c r="C727" s="6" t="s">
        <v>1510</v>
      </c>
      <c r="D727" s="6" t="s">
        <v>101</v>
      </c>
      <c r="E727" s="6" t="s">
        <v>102</v>
      </c>
      <c r="F727" s="7" t="s">
        <v>103</v>
      </c>
      <c r="G727" s="7" t="s">
        <v>104</v>
      </c>
      <c r="H727" s="7"/>
      <c r="I727" s="7"/>
      <c r="J727" s="7" t="s">
        <v>1519</v>
      </c>
      <c r="K727" s="7" t="s">
        <v>407</v>
      </c>
      <c r="L727" s="7" t="s">
        <v>81</v>
      </c>
      <c r="M727" s="8" t="str">
        <f t="shared" si="22"/>
        <v>NA</v>
      </c>
      <c r="N727" s="8" t="str">
        <f t="shared" si="23"/>
        <v>Complete</v>
      </c>
    </row>
    <row r="728" spans="1:14" ht="40.5" customHeight="1">
      <c r="A728" s="6">
        <v>727</v>
      </c>
      <c r="B728" s="6" t="s">
        <v>1509</v>
      </c>
      <c r="C728" s="6" t="s">
        <v>1510</v>
      </c>
      <c r="D728" s="6" t="s">
        <v>107</v>
      </c>
      <c r="E728" s="6" t="s">
        <v>108</v>
      </c>
      <c r="F728" s="7" t="s">
        <v>103</v>
      </c>
      <c r="G728" s="7" t="s">
        <v>104</v>
      </c>
      <c r="H728" s="7"/>
      <c r="I728" s="7"/>
      <c r="J728" s="7" t="s">
        <v>1520</v>
      </c>
      <c r="K728" s="7" t="s">
        <v>505</v>
      </c>
      <c r="L728" s="7" t="s">
        <v>81</v>
      </c>
      <c r="M728" s="8" t="str">
        <f t="shared" si="22"/>
        <v>NA</v>
      </c>
      <c r="N728" s="8" t="str">
        <f t="shared" si="23"/>
        <v>Complete</v>
      </c>
    </row>
    <row r="729" spans="1:14" ht="27" customHeight="1">
      <c r="A729" s="6">
        <v>728</v>
      </c>
      <c r="B729" s="6" t="s">
        <v>1509</v>
      </c>
      <c r="C729" s="6" t="s">
        <v>1510</v>
      </c>
      <c r="D729" s="6" t="s">
        <v>112</v>
      </c>
      <c r="E729" s="6" t="s">
        <v>113</v>
      </c>
      <c r="F729" s="7" t="s">
        <v>103</v>
      </c>
      <c r="G729" s="7" t="s">
        <v>114</v>
      </c>
      <c r="H729" s="7"/>
      <c r="I729" s="7"/>
      <c r="J729" s="7" t="s">
        <v>1521</v>
      </c>
      <c r="K729" s="7" t="s">
        <v>1522</v>
      </c>
      <c r="L729" s="7" t="s">
        <v>81</v>
      </c>
      <c r="M729" s="8" t="str">
        <f t="shared" si="22"/>
        <v>NA</v>
      </c>
      <c r="N729" s="8" t="str">
        <f t="shared" si="23"/>
        <v>Complete</v>
      </c>
    </row>
    <row r="730" spans="1:14" ht="27" customHeight="1">
      <c r="A730" s="6">
        <v>729</v>
      </c>
      <c r="B730" s="6" t="s">
        <v>1509</v>
      </c>
      <c r="C730" s="6" t="s">
        <v>1510</v>
      </c>
      <c r="D730" s="6" t="s">
        <v>117</v>
      </c>
      <c r="E730" s="6" t="s">
        <v>118</v>
      </c>
      <c r="F730" s="7" t="s">
        <v>77</v>
      </c>
      <c r="G730" s="7"/>
      <c r="H730" s="7" t="s">
        <v>88</v>
      </c>
      <c r="I730" s="7" t="s">
        <v>119</v>
      </c>
      <c r="J730" s="7" t="s">
        <v>1523</v>
      </c>
      <c r="K730" s="7" t="s">
        <v>1524</v>
      </c>
      <c r="L730" s="7" t="s">
        <v>81</v>
      </c>
      <c r="M730" s="8" t="str">
        <f t="shared" si="22"/>
        <v>R</v>
      </c>
      <c r="N730" s="8" t="str">
        <f t="shared" si="23"/>
        <v>Complete</v>
      </c>
    </row>
    <row r="731" spans="1:14" ht="40.5" customHeight="1">
      <c r="A731" s="6">
        <v>730</v>
      </c>
      <c r="B731" s="6" t="s">
        <v>1509</v>
      </c>
      <c r="C731" s="6" t="s">
        <v>1510</v>
      </c>
      <c r="D731" s="6" t="s">
        <v>122</v>
      </c>
      <c r="E731" s="6" t="s">
        <v>123</v>
      </c>
      <c r="F731" s="7" t="s">
        <v>103</v>
      </c>
      <c r="G731" s="7" t="s">
        <v>104</v>
      </c>
      <c r="H731" s="7"/>
      <c r="I731" s="7"/>
      <c r="J731" s="7" t="s">
        <v>1525</v>
      </c>
      <c r="K731" s="7" t="s">
        <v>1526</v>
      </c>
      <c r="L731" s="7" t="s">
        <v>81</v>
      </c>
      <c r="M731" s="8" t="str">
        <f t="shared" si="22"/>
        <v>NA</v>
      </c>
      <c r="N731" s="8" t="str">
        <f t="shared" si="23"/>
        <v>Complete</v>
      </c>
    </row>
    <row r="732" spans="1:14" ht="27" customHeight="1">
      <c r="A732" s="6">
        <v>731</v>
      </c>
      <c r="B732" s="6" t="s">
        <v>1527</v>
      </c>
      <c r="C732" s="6" t="s">
        <v>1528</v>
      </c>
      <c r="D732" s="6" t="s">
        <v>75</v>
      </c>
      <c r="E732" s="6" t="s">
        <v>76</v>
      </c>
      <c r="F732" s="7" t="s">
        <v>77</v>
      </c>
      <c r="G732" s="7"/>
      <c r="H732" s="7" t="s">
        <v>78</v>
      </c>
      <c r="I732" s="7"/>
      <c r="J732" s="7" t="s">
        <v>1529</v>
      </c>
      <c r="K732" s="7" t="s">
        <v>1530</v>
      </c>
      <c r="L732" s="7" t="s">
        <v>81</v>
      </c>
      <c r="M732" s="8" t="str">
        <f t="shared" si="22"/>
        <v>D</v>
      </c>
      <c r="N732" s="8" t="str">
        <f t="shared" si="23"/>
        <v>Complete</v>
      </c>
    </row>
    <row r="733" spans="1:14" ht="27" customHeight="1">
      <c r="A733" s="6">
        <v>732</v>
      </c>
      <c r="B733" s="6" t="s">
        <v>1527</v>
      </c>
      <c r="C733" s="6" t="s">
        <v>1528</v>
      </c>
      <c r="D733" s="6" t="s">
        <v>82</v>
      </c>
      <c r="E733" s="6" t="s">
        <v>83</v>
      </c>
      <c r="F733" s="7" t="s">
        <v>77</v>
      </c>
      <c r="G733" s="7"/>
      <c r="H733" s="7" t="s">
        <v>88</v>
      </c>
      <c r="I733" s="7" t="s">
        <v>89</v>
      </c>
      <c r="J733" s="7" t="s">
        <v>1531</v>
      </c>
      <c r="K733" s="7" t="s">
        <v>1532</v>
      </c>
      <c r="L733" s="7" t="s">
        <v>81</v>
      </c>
      <c r="M733" s="8" t="str">
        <f t="shared" si="22"/>
        <v>R</v>
      </c>
      <c r="N733" s="8" t="str">
        <f t="shared" si="23"/>
        <v>Complete</v>
      </c>
    </row>
    <row r="734" spans="1:14" ht="27" customHeight="1">
      <c r="A734" s="6">
        <v>733</v>
      </c>
      <c r="B734" s="6" t="s">
        <v>1527</v>
      </c>
      <c r="C734" s="6" t="s">
        <v>1528</v>
      </c>
      <c r="D734" s="6" t="s">
        <v>86</v>
      </c>
      <c r="E734" s="6" t="s">
        <v>87</v>
      </c>
      <c r="F734" s="7" t="s">
        <v>77</v>
      </c>
      <c r="G734" s="7"/>
      <c r="H734" s="7" t="s">
        <v>94</v>
      </c>
      <c r="I734" s="7"/>
      <c r="J734" s="7" t="s">
        <v>1533</v>
      </c>
      <c r="K734" s="7" t="s">
        <v>1534</v>
      </c>
      <c r="L734" s="7" t="s">
        <v>81</v>
      </c>
      <c r="M734" s="8" t="str">
        <f t="shared" si="22"/>
        <v>U</v>
      </c>
      <c r="N734" s="8" t="str">
        <f t="shared" si="23"/>
        <v>Complete</v>
      </c>
    </row>
    <row r="735" spans="1:14" ht="27" customHeight="1">
      <c r="A735" s="6">
        <v>734</v>
      </c>
      <c r="B735" s="6" t="s">
        <v>1527</v>
      </c>
      <c r="C735" s="6" t="s">
        <v>1528</v>
      </c>
      <c r="D735" s="6" t="s">
        <v>92</v>
      </c>
      <c r="E735" s="6" t="s">
        <v>93</v>
      </c>
      <c r="F735" s="7" t="s">
        <v>77</v>
      </c>
      <c r="G735" s="7"/>
      <c r="H735" s="7" t="s">
        <v>94</v>
      </c>
      <c r="I735" s="7"/>
      <c r="J735" s="7" t="s">
        <v>1531</v>
      </c>
      <c r="K735" s="7" t="s">
        <v>539</v>
      </c>
      <c r="L735" s="7" t="s">
        <v>81</v>
      </c>
      <c r="M735" s="8" t="str">
        <f t="shared" si="22"/>
        <v>U</v>
      </c>
      <c r="N735" s="8" t="str">
        <f t="shared" si="23"/>
        <v>Complete</v>
      </c>
    </row>
    <row r="736" spans="1:14" ht="27" customHeight="1">
      <c r="A736" s="6">
        <v>735</v>
      </c>
      <c r="B736" s="6" t="s">
        <v>1527</v>
      </c>
      <c r="C736" s="6" t="s">
        <v>1528</v>
      </c>
      <c r="D736" s="6" t="s">
        <v>97</v>
      </c>
      <c r="E736" s="6" t="s">
        <v>98</v>
      </c>
      <c r="F736" s="7" t="s">
        <v>77</v>
      </c>
      <c r="G736" s="7"/>
      <c r="H736" s="7" t="s">
        <v>94</v>
      </c>
      <c r="I736" s="7"/>
      <c r="J736" s="7" t="s">
        <v>1533</v>
      </c>
      <c r="K736" s="7" t="s">
        <v>637</v>
      </c>
      <c r="L736" s="7" t="s">
        <v>81</v>
      </c>
      <c r="M736" s="8" t="str">
        <f t="shared" si="22"/>
        <v>U</v>
      </c>
      <c r="N736" s="8" t="str">
        <f t="shared" si="23"/>
        <v>Complete</v>
      </c>
    </row>
    <row r="737" spans="1:14" ht="40.5" customHeight="1">
      <c r="A737" s="6">
        <v>736</v>
      </c>
      <c r="B737" s="6" t="s">
        <v>1527</v>
      </c>
      <c r="C737" s="6" t="s">
        <v>1528</v>
      </c>
      <c r="D737" s="6" t="s">
        <v>101</v>
      </c>
      <c r="E737" s="6" t="s">
        <v>102</v>
      </c>
      <c r="F737" s="7" t="s">
        <v>77</v>
      </c>
      <c r="G737" s="7"/>
      <c r="H737" s="7" t="s">
        <v>94</v>
      </c>
      <c r="I737" s="7"/>
      <c r="J737" s="7" t="s">
        <v>1535</v>
      </c>
      <c r="K737" s="7" t="s">
        <v>1536</v>
      </c>
      <c r="L737" s="7" t="s">
        <v>81</v>
      </c>
      <c r="M737" s="8" t="str">
        <f t="shared" si="22"/>
        <v>U</v>
      </c>
      <c r="N737" s="8" t="str">
        <f t="shared" si="23"/>
        <v>Complete</v>
      </c>
    </row>
    <row r="738" spans="1:14" ht="40.5" customHeight="1">
      <c r="A738" s="6">
        <v>737</v>
      </c>
      <c r="B738" s="6" t="s">
        <v>1527</v>
      </c>
      <c r="C738" s="6" t="s">
        <v>1528</v>
      </c>
      <c r="D738" s="6" t="s">
        <v>107</v>
      </c>
      <c r="E738" s="6" t="s">
        <v>108</v>
      </c>
      <c r="F738" s="7" t="s">
        <v>77</v>
      </c>
      <c r="G738" s="7"/>
      <c r="H738" s="7" t="s">
        <v>94</v>
      </c>
      <c r="I738" s="7"/>
      <c r="J738" s="7" t="s">
        <v>1537</v>
      </c>
      <c r="K738" s="7" t="s">
        <v>1538</v>
      </c>
      <c r="L738" s="7" t="s">
        <v>111</v>
      </c>
      <c r="M738" s="8" t="str">
        <f t="shared" si="22"/>
        <v>U</v>
      </c>
      <c r="N738" s="8" t="str">
        <f t="shared" si="23"/>
        <v>Complete</v>
      </c>
    </row>
    <row r="739" spans="1:14" ht="40.5" customHeight="1">
      <c r="A739" s="6">
        <v>738</v>
      </c>
      <c r="B739" s="6" t="s">
        <v>1527</v>
      </c>
      <c r="C739" s="6" t="s">
        <v>1528</v>
      </c>
      <c r="D739" s="6" t="s">
        <v>112</v>
      </c>
      <c r="E739" s="6" t="s">
        <v>113</v>
      </c>
      <c r="F739" s="7" t="s">
        <v>103</v>
      </c>
      <c r="G739" s="7" t="s">
        <v>114</v>
      </c>
      <c r="H739" s="7"/>
      <c r="I739" s="7"/>
      <c r="J739" s="7" t="s">
        <v>1539</v>
      </c>
      <c r="K739" s="7" t="s">
        <v>184</v>
      </c>
      <c r="L739" s="7" t="s">
        <v>132</v>
      </c>
      <c r="M739" s="8" t="str">
        <f t="shared" si="22"/>
        <v>NA</v>
      </c>
      <c r="N739" s="8" t="str">
        <f t="shared" si="23"/>
        <v>Complete</v>
      </c>
    </row>
    <row r="740" spans="1:14" ht="40.5" customHeight="1">
      <c r="A740" s="6">
        <v>739</v>
      </c>
      <c r="B740" s="6" t="s">
        <v>1527</v>
      </c>
      <c r="C740" s="6" t="s">
        <v>1528</v>
      </c>
      <c r="D740" s="6" t="s">
        <v>117</v>
      </c>
      <c r="E740" s="6" t="s">
        <v>118</v>
      </c>
      <c r="F740" s="7" t="s">
        <v>103</v>
      </c>
      <c r="G740" s="7" t="s">
        <v>104</v>
      </c>
      <c r="H740" s="7"/>
      <c r="I740" s="7"/>
      <c r="J740" s="7" t="s">
        <v>1540</v>
      </c>
      <c r="K740" s="7" t="s">
        <v>1271</v>
      </c>
      <c r="L740" s="7" t="s">
        <v>81</v>
      </c>
      <c r="M740" s="8" t="str">
        <f t="shared" si="22"/>
        <v>NA</v>
      </c>
      <c r="N740" s="8" t="str">
        <f t="shared" si="23"/>
        <v>Complete</v>
      </c>
    </row>
    <row r="741" spans="1:14" ht="40.5" customHeight="1">
      <c r="A741" s="6">
        <v>740</v>
      </c>
      <c r="B741" s="6" t="s">
        <v>1527</v>
      </c>
      <c r="C741" s="6" t="s">
        <v>1528</v>
      </c>
      <c r="D741" s="6" t="s">
        <v>122</v>
      </c>
      <c r="E741" s="6" t="s">
        <v>123</v>
      </c>
      <c r="F741" s="7" t="s">
        <v>103</v>
      </c>
      <c r="G741" s="7" t="s">
        <v>104</v>
      </c>
      <c r="H741" s="7"/>
      <c r="I741" s="7"/>
      <c r="J741" s="7" t="s">
        <v>1540</v>
      </c>
      <c r="K741" s="7" t="s">
        <v>168</v>
      </c>
      <c r="L741" s="7" t="s">
        <v>81</v>
      </c>
      <c r="M741" s="8" t="str">
        <f t="shared" si="22"/>
        <v>NA</v>
      </c>
      <c r="N741" s="8" t="str">
        <f t="shared" si="23"/>
        <v>Complete</v>
      </c>
    </row>
  </sheetData>
  <autoFilter ref="A1:N741" xr:uid="{00000000-0009-0000-0000-000001000000}"/>
  <phoneticPr fontId="4" type="noConversion"/>
  <dataValidations count="5">
    <dataValidation type="list" allowBlank="1" showInputMessage="1" showErrorMessage="1" errorTitle="取值无效" error="请从下拉列表中选择" promptTitle="填写提示" prompt="过程对象是否在标准任务过程中实例化" sqref="F2:F741" xr:uid="{00000000-0002-0000-0100-000000000000}">
      <formula1>"Applicable,Not applicable"</formula1>
    </dataValidation>
    <dataValidation type="list" allowBlank="1" showInputMessage="1" showErrorMessage="1" errorTitle="取值无效" error="请从下拉列表中选择" promptTitle="填写提示" prompt="仅在①选“不适用”时填写" sqref="G2:G741" xr:uid="{00000000-0002-0000-0100-000001000000}">
      <formula1>"Clearly not applicable,Weak boundary"</formula1>
    </dataValidation>
    <dataValidation type="list" allowBlank="1" showInputMessage="1" showErrorMessage="1" errorTitle="取值无效" error="请从下拉列表中选择" promptTitle="填写提示" prompt="仅在①选“适用”时填写" sqref="H2:H741" xr:uid="{00000000-0002-0000-0100-000002000000}">
      <formula1>"D,R,U"</formula1>
    </dataValidation>
    <dataValidation type="list" allowBlank="1" showInputMessage="1" showErrorMessage="1" errorTitle="取值无效" error="请从下拉列表中选择" promptTitle="填写提示" prompt="仅在③选 R 时填写" sqref="I2:I741" xr:uid="{00000000-0002-0000-0100-000003000000}">
      <formula1>"Deterministic recovery,Requires additional convention"</formula1>
    </dataValidation>
    <dataValidation type="list" allowBlank="1" showErrorMessage="1" errorTitle="取值无效" error="请从下拉列表中选择" sqref="L2:L741" xr:uid="{00000000-0002-0000-0100-000004000000}">
      <formula1>"High,Medium,Low"</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75"/>
  <sheetViews>
    <sheetView tabSelected="1" topLeftCell="D1" workbookViewId="0">
      <pane ySplit="1" topLeftCell="A41" activePane="bottomLeft" state="frozen"/>
      <selection pane="bottomLeft" activeCell="J45" sqref="J45"/>
    </sheetView>
  </sheetViews>
  <sheetFormatPr defaultRowHeight="13.5"/>
  <cols>
    <col min="1" max="1" width="8" customWidth="1"/>
    <col min="2" max="2" width="18" customWidth="1"/>
    <col min="3" max="3" width="40" customWidth="1"/>
    <col min="4" max="4" width="10" customWidth="1"/>
    <col min="5" max="5" width="18" customWidth="1"/>
    <col min="6" max="6" width="8" customWidth="1"/>
    <col min="7" max="7" width="30" customWidth="1"/>
    <col min="8" max="9" width="34" customWidth="1"/>
    <col min="10" max="10" width="12" customWidth="1"/>
    <col min="11" max="11" width="20" customWidth="1"/>
    <col min="14" max="14" width="23.875" bestFit="1" customWidth="1"/>
  </cols>
  <sheetData>
    <row r="1" spans="1:15" ht="27" customHeight="1">
      <c r="A1" s="13" t="s">
        <v>61</v>
      </c>
      <c r="B1" s="13" t="s">
        <v>62</v>
      </c>
      <c r="C1" s="13" t="s">
        <v>1541</v>
      </c>
      <c r="D1" s="13" t="s">
        <v>2048</v>
      </c>
      <c r="E1" s="13" t="s">
        <v>1542</v>
      </c>
      <c r="F1" s="13" t="s">
        <v>1543</v>
      </c>
      <c r="G1" s="13" t="s">
        <v>1544</v>
      </c>
      <c r="H1" s="13" t="s">
        <v>2049</v>
      </c>
      <c r="I1" s="13" t="s">
        <v>2050</v>
      </c>
      <c r="J1" s="13" t="s">
        <v>1545</v>
      </c>
      <c r="K1" s="13" t="s">
        <v>1546</v>
      </c>
      <c r="L1" s="13" t="s">
        <v>2051</v>
      </c>
      <c r="M1" s="13" t="s">
        <v>2045</v>
      </c>
      <c r="N1" s="13" t="s">
        <v>2046</v>
      </c>
      <c r="O1" s="13" t="s">
        <v>2047</v>
      </c>
    </row>
    <row r="2" spans="1:15" ht="40.5" customHeight="1">
      <c r="A2" s="14">
        <v>1</v>
      </c>
      <c r="B2" s="14" t="s">
        <v>74</v>
      </c>
      <c r="C2" s="14" t="s">
        <v>2052</v>
      </c>
      <c r="D2" s="14" t="s">
        <v>2053</v>
      </c>
      <c r="E2" s="14" t="s">
        <v>1547</v>
      </c>
      <c r="F2" s="14" t="s">
        <v>1548</v>
      </c>
      <c r="G2" s="14" t="s">
        <v>1649</v>
      </c>
      <c r="H2" s="14" t="s">
        <v>1650</v>
      </c>
      <c r="I2" s="14" t="s">
        <v>1651</v>
      </c>
      <c r="J2" s="15">
        <v>46318</v>
      </c>
      <c r="K2" s="14" t="s">
        <v>1652</v>
      </c>
      <c r="L2" s="14" t="s">
        <v>1653</v>
      </c>
      <c r="M2" s="14" t="s">
        <v>1654</v>
      </c>
      <c r="N2" s="16">
        <v>45447.167395833334</v>
      </c>
      <c r="O2" s="14" t="s">
        <v>1655</v>
      </c>
    </row>
    <row r="3" spans="1:15" ht="40.5" customHeight="1">
      <c r="A3" s="17">
        <v>2</v>
      </c>
      <c r="B3" s="17" t="s">
        <v>127</v>
      </c>
      <c r="C3" s="17" t="s">
        <v>1549</v>
      </c>
      <c r="D3" s="17" t="s">
        <v>2054</v>
      </c>
      <c r="E3" s="17" t="s">
        <v>1550</v>
      </c>
      <c r="F3" s="17" t="s">
        <v>1548</v>
      </c>
      <c r="G3" s="17" t="s">
        <v>1656</v>
      </c>
      <c r="H3" s="17" t="s">
        <v>1657</v>
      </c>
      <c r="I3" s="17" t="s">
        <v>1658</v>
      </c>
      <c r="J3" s="18">
        <v>46318</v>
      </c>
      <c r="K3" s="17" t="s">
        <v>1659</v>
      </c>
      <c r="L3" s="17" t="s">
        <v>1653</v>
      </c>
      <c r="M3" s="17" t="s">
        <v>1660</v>
      </c>
      <c r="N3" s="19">
        <v>45917.987245370372</v>
      </c>
      <c r="O3" s="17" t="s">
        <v>1661</v>
      </c>
    </row>
    <row r="4" spans="1:15" ht="40.5" customHeight="1">
      <c r="A4" s="14">
        <v>3</v>
      </c>
      <c r="B4" s="14" t="s">
        <v>148</v>
      </c>
      <c r="C4" s="14" t="s">
        <v>1551</v>
      </c>
      <c r="D4" s="14" t="s">
        <v>2055</v>
      </c>
      <c r="E4" s="14" t="s">
        <v>1552</v>
      </c>
      <c r="F4" s="14" t="s">
        <v>1553</v>
      </c>
      <c r="G4" s="14" t="s">
        <v>1662</v>
      </c>
      <c r="H4" s="14" t="s">
        <v>1663</v>
      </c>
      <c r="I4" s="14" t="s">
        <v>1664</v>
      </c>
      <c r="J4" s="15">
        <v>46318</v>
      </c>
      <c r="K4" s="14" t="s">
        <v>1665</v>
      </c>
      <c r="L4" s="14" t="s">
        <v>1653</v>
      </c>
      <c r="M4" s="14" t="s">
        <v>1666</v>
      </c>
      <c r="N4" s="16">
        <v>45663.369027777779</v>
      </c>
      <c r="O4" s="14" t="s">
        <v>1667</v>
      </c>
    </row>
    <row r="5" spans="1:15" ht="27" customHeight="1">
      <c r="A5" s="17">
        <v>4</v>
      </c>
      <c r="B5" s="17" t="s">
        <v>170</v>
      </c>
      <c r="C5" s="17" t="s">
        <v>1554</v>
      </c>
      <c r="D5" s="17" t="s">
        <v>2056</v>
      </c>
      <c r="E5" s="17" t="s">
        <v>1555</v>
      </c>
      <c r="F5" s="17" t="s">
        <v>1548</v>
      </c>
      <c r="G5" s="17" t="s">
        <v>1668</v>
      </c>
      <c r="H5" s="17" t="s">
        <v>1669</v>
      </c>
      <c r="I5" s="17" t="s">
        <v>1670</v>
      </c>
      <c r="J5" s="18">
        <v>46318</v>
      </c>
      <c r="K5" s="17" t="s">
        <v>1652</v>
      </c>
      <c r="L5" s="17" t="s">
        <v>1653</v>
      </c>
      <c r="M5" s="17" t="s">
        <v>1671</v>
      </c>
      <c r="N5" s="19">
        <v>46166.14702546296</v>
      </c>
      <c r="O5" s="17" t="s">
        <v>1672</v>
      </c>
    </row>
    <row r="6" spans="1:15" ht="27" customHeight="1">
      <c r="A6" s="14">
        <v>5</v>
      </c>
      <c r="B6" s="14" t="s">
        <v>190</v>
      </c>
      <c r="C6" s="14" t="s">
        <v>1556</v>
      </c>
      <c r="D6" s="14" t="s">
        <v>1557</v>
      </c>
      <c r="E6" s="14" t="s">
        <v>1558</v>
      </c>
      <c r="F6" s="14" t="s">
        <v>1553</v>
      </c>
      <c r="G6" s="14" t="s">
        <v>1673</v>
      </c>
      <c r="H6" s="14" t="s">
        <v>1674</v>
      </c>
      <c r="I6" s="14" t="s">
        <v>1675</v>
      </c>
      <c r="J6" s="15">
        <v>46318</v>
      </c>
      <c r="K6" s="14" t="s">
        <v>1676</v>
      </c>
      <c r="L6" s="14" t="s">
        <v>1653</v>
      </c>
      <c r="M6" s="14" t="s">
        <v>1677</v>
      </c>
      <c r="N6" s="16">
        <v>45832.183368055557</v>
      </c>
      <c r="O6" s="14" t="s">
        <v>1678</v>
      </c>
    </row>
    <row r="7" spans="1:15" ht="40.5" customHeight="1">
      <c r="A7" s="17">
        <v>6</v>
      </c>
      <c r="B7" s="17" t="s">
        <v>212</v>
      </c>
      <c r="C7" s="17" t="s">
        <v>1559</v>
      </c>
      <c r="D7" s="17" t="s">
        <v>2057</v>
      </c>
      <c r="E7" s="17" t="s">
        <v>1560</v>
      </c>
      <c r="F7" s="17" t="s">
        <v>1553</v>
      </c>
      <c r="G7" s="17" t="s">
        <v>1679</v>
      </c>
      <c r="H7" s="17" t="s">
        <v>1680</v>
      </c>
      <c r="I7" s="17" t="s">
        <v>1681</v>
      </c>
      <c r="J7" s="18">
        <v>46318</v>
      </c>
      <c r="K7" s="17" t="s">
        <v>1682</v>
      </c>
      <c r="L7" s="17" t="s">
        <v>1653</v>
      </c>
      <c r="M7" s="17" t="s">
        <v>1683</v>
      </c>
      <c r="N7" s="19">
        <v>45615.865729166668</v>
      </c>
      <c r="O7" s="17" t="s">
        <v>1684</v>
      </c>
    </row>
    <row r="8" spans="1:15" ht="27" customHeight="1">
      <c r="A8" s="14">
        <v>7</v>
      </c>
      <c r="B8" s="14" t="s">
        <v>232</v>
      </c>
      <c r="C8" s="14" t="s">
        <v>1561</v>
      </c>
      <c r="D8" s="14" t="s">
        <v>2058</v>
      </c>
      <c r="E8" s="14" t="s">
        <v>1562</v>
      </c>
      <c r="F8" s="14" t="s">
        <v>1548</v>
      </c>
      <c r="G8" s="14" t="s">
        <v>1685</v>
      </c>
      <c r="H8" s="14" t="s">
        <v>1686</v>
      </c>
      <c r="I8" s="14" t="s">
        <v>1687</v>
      </c>
      <c r="J8" s="15">
        <v>46318</v>
      </c>
      <c r="K8" s="14" t="s">
        <v>1652</v>
      </c>
      <c r="L8" s="14" t="s">
        <v>1653</v>
      </c>
      <c r="M8" s="14" t="s">
        <v>1688</v>
      </c>
      <c r="N8" s="16">
        <v>45367.04347222222</v>
      </c>
      <c r="O8" s="14" t="s">
        <v>1689</v>
      </c>
    </row>
    <row r="9" spans="1:15" ht="27" customHeight="1">
      <c r="A9" s="17">
        <v>8</v>
      </c>
      <c r="B9" s="17" t="s">
        <v>254</v>
      </c>
      <c r="C9" s="17" t="s">
        <v>1563</v>
      </c>
      <c r="D9" s="17" t="s">
        <v>2059</v>
      </c>
      <c r="E9" s="17" t="s">
        <v>1564</v>
      </c>
      <c r="F9" s="17" t="s">
        <v>1553</v>
      </c>
      <c r="G9" s="17" t="s">
        <v>1690</v>
      </c>
      <c r="H9" s="17" t="s">
        <v>1691</v>
      </c>
      <c r="I9" s="17" t="s">
        <v>1692</v>
      </c>
      <c r="J9" s="18">
        <v>46318</v>
      </c>
      <c r="K9" s="17" t="s">
        <v>1693</v>
      </c>
      <c r="L9" s="17" t="s">
        <v>1653</v>
      </c>
      <c r="M9" s="17" t="s">
        <v>1694</v>
      </c>
      <c r="N9" s="19">
        <v>46314.328692129631</v>
      </c>
      <c r="O9" s="17" t="s">
        <v>1695</v>
      </c>
    </row>
    <row r="10" spans="1:15" ht="40.5" customHeight="1">
      <c r="A10" s="14">
        <v>9</v>
      </c>
      <c r="B10" s="14" t="s">
        <v>275</v>
      </c>
      <c r="C10" s="14" t="s">
        <v>2060</v>
      </c>
      <c r="D10" s="14" t="s">
        <v>2061</v>
      </c>
      <c r="E10" s="14" t="s">
        <v>1547</v>
      </c>
      <c r="F10" s="14" t="s">
        <v>1548</v>
      </c>
      <c r="G10" s="14" t="s">
        <v>1696</v>
      </c>
      <c r="H10" s="14" t="s">
        <v>1697</v>
      </c>
      <c r="I10" s="14" t="s">
        <v>1698</v>
      </c>
      <c r="J10" s="15">
        <v>46318</v>
      </c>
      <c r="K10" s="14" t="s">
        <v>1652</v>
      </c>
      <c r="L10" s="14" t="s">
        <v>1653</v>
      </c>
      <c r="M10" s="14" t="s">
        <v>1699</v>
      </c>
      <c r="N10" s="16">
        <v>45798.657604166663</v>
      </c>
      <c r="O10" s="14" t="s">
        <v>1700</v>
      </c>
    </row>
    <row r="11" spans="1:15" ht="54" customHeight="1">
      <c r="A11" s="17">
        <v>10</v>
      </c>
      <c r="B11" s="17" t="s">
        <v>295</v>
      </c>
      <c r="C11" s="17" t="s">
        <v>1565</v>
      </c>
      <c r="D11" s="17" t="s">
        <v>1557</v>
      </c>
      <c r="E11" s="17" t="s">
        <v>1558</v>
      </c>
      <c r="F11" s="17" t="s">
        <v>1548</v>
      </c>
      <c r="G11" s="17" t="s">
        <v>1701</v>
      </c>
      <c r="H11" s="17" t="s">
        <v>1702</v>
      </c>
      <c r="I11" s="17" t="s">
        <v>1701</v>
      </c>
      <c r="J11" s="18">
        <v>46318</v>
      </c>
      <c r="K11" s="17" t="s">
        <v>1703</v>
      </c>
      <c r="L11" s="17" t="s">
        <v>1653</v>
      </c>
      <c r="M11" s="17" t="s">
        <v>1704</v>
      </c>
      <c r="N11" s="19">
        <v>46104.486655092594</v>
      </c>
      <c r="O11" s="17" t="s">
        <v>1705</v>
      </c>
    </row>
    <row r="12" spans="1:15" ht="40.5" customHeight="1">
      <c r="A12" s="14">
        <v>11</v>
      </c>
      <c r="B12" s="14" t="s">
        <v>316</v>
      </c>
      <c r="C12" s="14" t="s">
        <v>1566</v>
      </c>
      <c r="D12" s="14" t="s">
        <v>2062</v>
      </c>
      <c r="E12" s="14" t="s">
        <v>1567</v>
      </c>
      <c r="F12" s="14" t="s">
        <v>1548</v>
      </c>
      <c r="G12" s="14" t="s">
        <v>1706</v>
      </c>
      <c r="H12" s="14" t="s">
        <v>1707</v>
      </c>
      <c r="I12" s="14" t="s">
        <v>1708</v>
      </c>
      <c r="J12" s="15">
        <v>46318</v>
      </c>
      <c r="K12" s="14" t="s">
        <v>1709</v>
      </c>
      <c r="L12" s="14" t="s">
        <v>1653</v>
      </c>
      <c r="M12" s="14" t="s">
        <v>1710</v>
      </c>
      <c r="N12" s="16">
        <v>46276.672048611108</v>
      </c>
      <c r="O12" s="14" t="s">
        <v>1711</v>
      </c>
    </row>
    <row r="13" spans="1:15" ht="40.5" customHeight="1">
      <c r="A13" s="17">
        <v>12</v>
      </c>
      <c r="B13" s="17" t="s">
        <v>338</v>
      </c>
      <c r="C13" s="17" t="s">
        <v>1568</v>
      </c>
      <c r="D13" s="17" t="s">
        <v>2063</v>
      </c>
      <c r="E13" s="17" t="s">
        <v>1569</v>
      </c>
      <c r="F13" s="17" t="s">
        <v>1553</v>
      </c>
      <c r="G13" s="17" t="s">
        <v>1712</v>
      </c>
      <c r="H13" s="17" t="s">
        <v>1713</v>
      </c>
      <c r="I13" s="17" t="s">
        <v>1714</v>
      </c>
      <c r="J13" s="18">
        <v>46318</v>
      </c>
      <c r="K13" s="17" t="s">
        <v>1715</v>
      </c>
      <c r="L13" s="17" t="s">
        <v>1653</v>
      </c>
      <c r="M13" s="17" t="s">
        <v>1716</v>
      </c>
      <c r="N13" s="19">
        <v>45806.145578703705</v>
      </c>
      <c r="O13" s="17" t="s">
        <v>1717</v>
      </c>
    </row>
    <row r="14" spans="1:15" ht="40.5" customHeight="1">
      <c r="A14" s="14">
        <v>13</v>
      </c>
      <c r="B14" s="14" t="s">
        <v>357</v>
      </c>
      <c r="C14" s="14" t="s">
        <v>1570</v>
      </c>
      <c r="D14" s="14" t="s">
        <v>2064</v>
      </c>
      <c r="E14" s="14" t="s">
        <v>1571</v>
      </c>
      <c r="F14" s="14" t="s">
        <v>1553</v>
      </c>
      <c r="G14" s="14" t="s">
        <v>1718</v>
      </c>
      <c r="H14" s="14" t="s">
        <v>1719</v>
      </c>
      <c r="I14" s="14" t="s">
        <v>1720</v>
      </c>
      <c r="J14" s="15">
        <v>46318</v>
      </c>
      <c r="K14" s="14" t="s">
        <v>1721</v>
      </c>
      <c r="L14" s="14" t="s">
        <v>1653</v>
      </c>
      <c r="M14" s="14" t="s">
        <v>1722</v>
      </c>
      <c r="N14" s="16">
        <v>45762.091064814813</v>
      </c>
      <c r="O14" s="14" t="s">
        <v>1723</v>
      </c>
    </row>
    <row r="15" spans="1:15" ht="27" customHeight="1">
      <c r="A15" s="17">
        <v>14</v>
      </c>
      <c r="B15" s="17" t="s">
        <v>376</v>
      </c>
      <c r="C15" s="17" t="s">
        <v>1572</v>
      </c>
      <c r="D15" s="17" t="s">
        <v>2065</v>
      </c>
      <c r="E15" s="17" t="s">
        <v>1573</v>
      </c>
      <c r="F15" s="17" t="s">
        <v>1553</v>
      </c>
      <c r="G15" s="17" t="s">
        <v>1724</v>
      </c>
      <c r="H15" s="17" t="s">
        <v>1725</v>
      </c>
      <c r="I15" s="17" t="s">
        <v>1726</v>
      </c>
      <c r="J15" s="18">
        <v>46318</v>
      </c>
      <c r="K15" s="17" t="s">
        <v>1727</v>
      </c>
      <c r="L15" s="17" t="s">
        <v>1653</v>
      </c>
      <c r="M15" s="17" t="s">
        <v>1728</v>
      </c>
      <c r="N15" s="19">
        <v>45800.719224537039</v>
      </c>
      <c r="O15" s="17" t="s">
        <v>1729</v>
      </c>
    </row>
    <row r="16" spans="1:15" ht="27" customHeight="1">
      <c r="A16" s="14">
        <v>15</v>
      </c>
      <c r="B16" s="14" t="s">
        <v>395</v>
      </c>
      <c r="C16" s="14" t="s">
        <v>1574</v>
      </c>
      <c r="D16" s="14" t="s">
        <v>2066</v>
      </c>
      <c r="E16" s="14" t="s">
        <v>1575</v>
      </c>
      <c r="F16" s="14" t="s">
        <v>1548</v>
      </c>
      <c r="G16" s="14" t="s">
        <v>1730</v>
      </c>
      <c r="H16" s="14" t="s">
        <v>1731</v>
      </c>
      <c r="I16" s="14" t="s">
        <v>1732</v>
      </c>
      <c r="J16" s="15">
        <v>46318</v>
      </c>
      <c r="K16" s="14" t="s">
        <v>1727</v>
      </c>
      <c r="L16" s="14" t="s">
        <v>1653</v>
      </c>
      <c r="M16" s="14" t="s">
        <v>1733</v>
      </c>
      <c r="N16" s="16">
        <v>46099.733402777776</v>
      </c>
      <c r="O16" s="14" t="s">
        <v>1734</v>
      </c>
    </row>
    <row r="17" spans="1:15" ht="27" customHeight="1">
      <c r="A17" s="17">
        <v>16</v>
      </c>
      <c r="B17" s="17" t="s">
        <v>417</v>
      </c>
      <c r="C17" s="17" t="s">
        <v>1576</v>
      </c>
      <c r="D17" s="17" t="s">
        <v>2067</v>
      </c>
      <c r="E17" s="17" t="s">
        <v>1577</v>
      </c>
      <c r="F17" s="17" t="s">
        <v>1548</v>
      </c>
      <c r="G17" s="17" t="s">
        <v>1735</v>
      </c>
      <c r="H17" s="17" t="s">
        <v>1736</v>
      </c>
      <c r="I17" s="17" t="s">
        <v>1737</v>
      </c>
      <c r="J17" s="18">
        <v>46318</v>
      </c>
      <c r="K17" s="17" t="s">
        <v>1738</v>
      </c>
      <c r="L17" s="17" t="s">
        <v>1653</v>
      </c>
      <c r="M17" s="17" t="s">
        <v>1739</v>
      </c>
      <c r="N17" s="19">
        <v>46317.931574074071</v>
      </c>
      <c r="O17" s="17" t="s">
        <v>1740</v>
      </c>
    </row>
    <row r="18" spans="1:15" ht="27" customHeight="1">
      <c r="A18" s="14">
        <v>17</v>
      </c>
      <c r="B18" s="14" t="s">
        <v>437</v>
      </c>
      <c r="C18" s="14" t="s">
        <v>2068</v>
      </c>
      <c r="D18" s="14" t="s">
        <v>2069</v>
      </c>
      <c r="E18" s="14" t="s">
        <v>1577</v>
      </c>
      <c r="F18" s="14" t="s">
        <v>1578</v>
      </c>
      <c r="G18" s="14" t="s">
        <v>1741</v>
      </c>
      <c r="H18" s="14" t="s">
        <v>1742</v>
      </c>
      <c r="I18" s="14" t="s">
        <v>1743</v>
      </c>
      <c r="J18" s="15">
        <v>46318</v>
      </c>
      <c r="K18" s="14" t="s">
        <v>1744</v>
      </c>
      <c r="L18" s="14" t="s">
        <v>1653</v>
      </c>
      <c r="M18" s="14" t="s">
        <v>1745</v>
      </c>
      <c r="N18" s="16">
        <v>46318.123402777775</v>
      </c>
      <c r="O18" s="14" t="s">
        <v>1746</v>
      </c>
    </row>
    <row r="19" spans="1:15" ht="40.5" customHeight="1">
      <c r="A19" s="17">
        <v>18</v>
      </c>
      <c r="B19" s="17" t="s">
        <v>457</v>
      </c>
      <c r="C19" s="17" t="s">
        <v>2070</v>
      </c>
      <c r="D19" s="17" t="s">
        <v>2071</v>
      </c>
      <c r="E19" s="17" t="s">
        <v>1579</v>
      </c>
      <c r="F19" s="17" t="s">
        <v>1548</v>
      </c>
      <c r="G19" s="17" t="s">
        <v>1747</v>
      </c>
      <c r="H19" s="17" t="s">
        <v>1748</v>
      </c>
      <c r="I19" s="17" t="s">
        <v>1749</v>
      </c>
      <c r="J19" s="18">
        <v>46318</v>
      </c>
      <c r="K19" s="17" t="s">
        <v>1750</v>
      </c>
      <c r="L19" s="17" t="s">
        <v>1653</v>
      </c>
      <c r="M19" s="17" t="s">
        <v>1751</v>
      </c>
      <c r="N19" s="19">
        <v>46240.244074074071</v>
      </c>
      <c r="O19" s="17" t="s">
        <v>1752</v>
      </c>
    </row>
    <row r="20" spans="1:15" ht="40.5" customHeight="1">
      <c r="A20" s="14">
        <v>19</v>
      </c>
      <c r="B20" s="14" t="s">
        <v>476</v>
      </c>
      <c r="C20" s="14" t="s">
        <v>2072</v>
      </c>
      <c r="D20" s="14" t="s">
        <v>1580</v>
      </c>
      <c r="E20" s="14" t="s">
        <v>1581</v>
      </c>
      <c r="F20" s="14" t="s">
        <v>1553</v>
      </c>
      <c r="G20" s="14" t="s">
        <v>1753</v>
      </c>
      <c r="H20" s="14" t="s">
        <v>1754</v>
      </c>
      <c r="I20" s="14" t="s">
        <v>1753</v>
      </c>
      <c r="J20" s="15">
        <v>46318</v>
      </c>
      <c r="K20" s="14" t="s">
        <v>1755</v>
      </c>
      <c r="L20" s="14" t="s">
        <v>1653</v>
      </c>
      <c r="M20" s="14" t="s">
        <v>1756</v>
      </c>
      <c r="N20" s="16">
        <v>45984.173425925925</v>
      </c>
      <c r="O20" s="14" t="s">
        <v>1757</v>
      </c>
    </row>
    <row r="21" spans="1:15" ht="40.5" customHeight="1">
      <c r="A21" s="17">
        <v>20</v>
      </c>
      <c r="B21" s="17" t="s">
        <v>492</v>
      </c>
      <c r="C21" s="17" t="s">
        <v>2073</v>
      </c>
      <c r="D21" s="17" t="s">
        <v>2074</v>
      </c>
      <c r="E21" s="17" t="s">
        <v>1581</v>
      </c>
      <c r="F21" s="17" t="s">
        <v>1553</v>
      </c>
      <c r="G21" s="17" t="s">
        <v>1758</v>
      </c>
      <c r="H21" s="17" t="s">
        <v>1759</v>
      </c>
      <c r="I21" s="17" t="s">
        <v>1760</v>
      </c>
      <c r="J21" s="18">
        <v>46318</v>
      </c>
      <c r="K21" s="17" t="s">
        <v>1761</v>
      </c>
      <c r="L21" s="17" t="s">
        <v>1653</v>
      </c>
      <c r="M21" s="17" t="s">
        <v>1762</v>
      </c>
      <c r="N21" s="19">
        <v>46207.819768518515</v>
      </c>
      <c r="O21" s="17" t="s">
        <v>1763</v>
      </c>
    </row>
    <row r="22" spans="1:15" ht="40.5" customHeight="1">
      <c r="A22" s="14">
        <v>21</v>
      </c>
      <c r="B22" s="14" t="s">
        <v>511</v>
      </c>
      <c r="C22" s="14" t="s">
        <v>1582</v>
      </c>
      <c r="D22" s="14" t="s">
        <v>2075</v>
      </c>
      <c r="E22" s="14" t="s">
        <v>1550</v>
      </c>
      <c r="F22" s="14" t="s">
        <v>1548</v>
      </c>
      <c r="G22" s="14" t="s">
        <v>1764</v>
      </c>
      <c r="H22" s="14" t="s">
        <v>1765</v>
      </c>
      <c r="I22" s="14" t="s">
        <v>1766</v>
      </c>
      <c r="J22" s="15">
        <v>46318</v>
      </c>
      <c r="K22" s="14" t="s">
        <v>1659</v>
      </c>
      <c r="L22" s="14" t="s">
        <v>1653</v>
      </c>
      <c r="M22" s="14" t="s">
        <v>1767</v>
      </c>
      <c r="N22" s="16">
        <v>45966.026863425926</v>
      </c>
      <c r="O22" s="14" t="s">
        <v>1768</v>
      </c>
    </row>
    <row r="23" spans="1:15" ht="27" customHeight="1">
      <c r="A23" s="17">
        <v>22</v>
      </c>
      <c r="B23" s="17" t="s">
        <v>531</v>
      </c>
      <c r="C23" s="17" t="s">
        <v>1583</v>
      </c>
      <c r="D23" s="17" t="s">
        <v>2076</v>
      </c>
      <c r="E23" s="17" t="s">
        <v>1547</v>
      </c>
      <c r="F23" s="17" t="s">
        <v>1548</v>
      </c>
      <c r="G23" s="17" t="s">
        <v>1769</v>
      </c>
      <c r="H23" s="17" t="s">
        <v>1770</v>
      </c>
      <c r="I23" s="17" t="s">
        <v>1771</v>
      </c>
      <c r="J23" s="18">
        <v>46318</v>
      </c>
      <c r="K23" s="17" t="s">
        <v>1652</v>
      </c>
      <c r="L23" s="17" t="s">
        <v>1653</v>
      </c>
      <c r="M23" s="17" t="s">
        <v>1772</v>
      </c>
      <c r="N23" s="19">
        <v>45987.886099537034</v>
      </c>
      <c r="O23" s="17" t="s">
        <v>1773</v>
      </c>
    </row>
    <row r="24" spans="1:15" ht="27" customHeight="1">
      <c r="A24" s="14">
        <v>23</v>
      </c>
      <c r="B24" s="14" t="s">
        <v>551</v>
      </c>
      <c r="C24" s="14" t="s">
        <v>1584</v>
      </c>
      <c r="D24" s="14" t="s">
        <v>2077</v>
      </c>
      <c r="E24" s="14" t="s">
        <v>1585</v>
      </c>
      <c r="F24" s="14" t="s">
        <v>1553</v>
      </c>
      <c r="G24" s="14" t="s">
        <v>1774</v>
      </c>
      <c r="H24" s="14" t="s">
        <v>1775</v>
      </c>
      <c r="I24" s="14" t="s">
        <v>1776</v>
      </c>
      <c r="J24" s="15">
        <v>46318</v>
      </c>
      <c r="K24" s="14" t="s">
        <v>1721</v>
      </c>
      <c r="L24" s="14" t="s">
        <v>1653</v>
      </c>
      <c r="M24" s="14" t="s">
        <v>1777</v>
      </c>
      <c r="N24" s="16">
        <v>45355.149837962963</v>
      </c>
      <c r="O24" s="14" t="s">
        <v>1778</v>
      </c>
    </row>
    <row r="25" spans="1:15" ht="27" customHeight="1">
      <c r="A25" s="17">
        <v>24</v>
      </c>
      <c r="B25" s="17" t="s">
        <v>571</v>
      </c>
      <c r="C25" s="17" t="s">
        <v>1586</v>
      </c>
      <c r="D25" s="17" t="s">
        <v>2078</v>
      </c>
      <c r="E25" s="17" t="s">
        <v>1555</v>
      </c>
      <c r="F25" s="17" t="s">
        <v>1548</v>
      </c>
      <c r="G25" s="17" t="s">
        <v>1779</v>
      </c>
      <c r="H25" s="17" t="s">
        <v>1780</v>
      </c>
      <c r="I25" s="17" t="s">
        <v>1781</v>
      </c>
      <c r="J25" s="18">
        <v>46318</v>
      </c>
      <c r="K25" s="17" t="s">
        <v>1652</v>
      </c>
      <c r="L25" s="17" t="s">
        <v>1653</v>
      </c>
      <c r="M25" s="17" t="s">
        <v>1782</v>
      </c>
      <c r="N25" s="19">
        <v>46250.758634259262</v>
      </c>
      <c r="O25" s="17" t="s">
        <v>1783</v>
      </c>
    </row>
    <row r="26" spans="1:15" ht="27" customHeight="1">
      <c r="A26" s="14">
        <v>25</v>
      </c>
      <c r="B26" s="14" t="s">
        <v>590</v>
      </c>
      <c r="C26" s="14" t="s">
        <v>1587</v>
      </c>
      <c r="D26" s="14" t="s">
        <v>2079</v>
      </c>
      <c r="E26" s="14" t="s">
        <v>1585</v>
      </c>
      <c r="F26" s="14" t="s">
        <v>1548</v>
      </c>
      <c r="G26" s="14" t="s">
        <v>1784</v>
      </c>
      <c r="H26" s="14" t="s">
        <v>1785</v>
      </c>
      <c r="I26" s="14" t="s">
        <v>1786</v>
      </c>
      <c r="J26" s="15">
        <v>46318</v>
      </c>
      <c r="K26" s="14" t="s">
        <v>1652</v>
      </c>
      <c r="L26" s="14" t="s">
        <v>1653</v>
      </c>
      <c r="M26" s="14" t="s">
        <v>1787</v>
      </c>
      <c r="N26" s="16">
        <v>45605.032638888886</v>
      </c>
      <c r="O26" s="14" t="s">
        <v>1788</v>
      </c>
    </row>
    <row r="27" spans="1:15" ht="27" customHeight="1">
      <c r="A27" s="17">
        <v>26</v>
      </c>
      <c r="B27" s="17" t="s">
        <v>608</v>
      </c>
      <c r="C27" s="17" t="s">
        <v>1588</v>
      </c>
      <c r="D27" s="17" t="s">
        <v>2080</v>
      </c>
      <c r="E27" s="17" t="s">
        <v>1569</v>
      </c>
      <c r="F27" s="17" t="s">
        <v>1553</v>
      </c>
      <c r="G27" s="17" t="s">
        <v>1789</v>
      </c>
      <c r="H27" s="17" t="s">
        <v>1790</v>
      </c>
      <c r="I27" s="17" t="s">
        <v>1791</v>
      </c>
      <c r="J27" s="18">
        <v>46318</v>
      </c>
      <c r="K27" s="17" t="s">
        <v>1792</v>
      </c>
      <c r="L27" s="17" t="s">
        <v>1653</v>
      </c>
      <c r="M27" s="17" t="s">
        <v>1793</v>
      </c>
      <c r="N27" s="19">
        <v>45715.592199074075</v>
      </c>
      <c r="O27" s="17" t="s">
        <v>1794</v>
      </c>
    </row>
    <row r="28" spans="1:15" ht="27" customHeight="1">
      <c r="A28" s="14">
        <v>27</v>
      </c>
      <c r="B28" s="14" t="s">
        <v>627</v>
      </c>
      <c r="C28" s="14" t="s">
        <v>1589</v>
      </c>
      <c r="D28" s="14" t="s">
        <v>2081</v>
      </c>
      <c r="E28" s="14" t="s">
        <v>1590</v>
      </c>
      <c r="F28" s="14" t="s">
        <v>1548</v>
      </c>
      <c r="G28" s="14" t="s">
        <v>1795</v>
      </c>
      <c r="H28" s="14" t="s">
        <v>1796</v>
      </c>
      <c r="I28" s="14" t="s">
        <v>1797</v>
      </c>
      <c r="J28" s="15">
        <v>46318</v>
      </c>
      <c r="K28" s="14" t="s">
        <v>1652</v>
      </c>
      <c r="L28" s="14" t="s">
        <v>1653</v>
      </c>
      <c r="M28" s="14" t="s">
        <v>1798</v>
      </c>
      <c r="N28" s="16">
        <v>45635.357939814814</v>
      </c>
      <c r="O28" s="14" t="s">
        <v>1799</v>
      </c>
    </row>
    <row r="29" spans="1:15" ht="27" customHeight="1">
      <c r="A29" s="17">
        <v>28</v>
      </c>
      <c r="B29" s="17" t="s">
        <v>647</v>
      </c>
      <c r="C29" s="17" t="s">
        <v>1591</v>
      </c>
      <c r="D29" s="17" t="s">
        <v>2082</v>
      </c>
      <c r="E29" s="17" t="s">
        <v>1592</v>
      </c>
      <c r="F29" s="17" t="s">
        <v>1578</v>
      </c>
      <c r="G29" s="17" t="s">
        <v>1800</v>
      </c>
      <c r="H29" s="17" t="s">
        <v>1801</v>
      </c>
      <c r="I29" s="17" t="s">
        <v>1802</v>
      </c>
      <c r="J29" s="18">
        <v>46318</v>
      </c>
      <c r="K29" s="17" t="s">
        <v>1652</v>
      </c>
      <c r="L29" s="17" t="s">
        <v>1653</v>
      </c>
      <c r="M29" s="17" t="s">
        <v>1803</v>
      </c>
      <c r="N29" s="19">
        <v>45694.082361111112</v>
      </c>
      <c r="O29" s="17" t="s">
        <v>1804</v>
      </c>
    </row>
    <row r="30" spans="1:15" ht="40.5" customHeight="1">
      <c r="A30" s="14">
        <v>29</v>
      </c>
      <c r="B30" s="14" t="s">
        <v>668</v>
      </c>
      <c r="C30" s="14" t="s">
        <v>1593</v>
      </c>
      <c r="D30" s="14" t="s">
        <v>2083</v>
      </c>
      <c r="E30" s="14" t="s">
        <v>1579</v>
      </c>
      <c r="F30" s="14" t="s">
        <v>1553</v>
      </c>
      <c r="G30" s="14" t="s">
        <v>1805</v>
      </c>
      <c r="H30" s="14" t="s">
        <v>1806</v>
      </c>
      <c r="I30" s="14" t="s">
        <v>1807</v>
      </c>
      <c r="J30" s="15">
        <v>46318</v>
      </c>
      <c r="K30" s="14" t="s">
        <v>1808</v>
      </c>
      <c r="L30" s="14" t="s">
        <v>1653</v>
      </c>
      <c r="M30" s="14" t="s">
        <v>1809</v>
      </c>
      <c r="N30" s="16">
        <v>46093.689768518518</v>
      </c>
      <c r="O30" s="14" t="s">
        <v>1810</v>
      </c>
    </row>
    <row r="31" spans="1:15" ht="27" customHeight="1">
      <c r="A31" s="17">
        <v>30</v>
      </c>
      <c r="B31" s="17" t="s">
        <v>689</v>
      </c>
      <c r="C31" s="17" t="s">
        <v>1594</v>
      </c>
      <c r="D31" s="17" t="s">
        <v>2064</v>
      </c>
      <c r="E31" s="17" t="s">
        <v>1555</v>
      </c>
      <c r="F31" s="17" t="s">
        <v>1548</v>
      </c>
      <c r="G31" s="17" t="s">
        <v>1811</v>
      </c>
      <c r="H31" s="17" t="s">
        <v>1812</v>
      </c>
      <c r="I31" s="17" t="s">
        <v>1813</v>
      </c>
      <c r="J31" s="18">
        <v>46318</v>
      </c>
      <c r="K31" s="17" t="s">
        <v>1652</v>
      </c>
      <c r="L31" s="17" t="s">
        <v>1653</v>
      </c>
      <c r="M31" s="17" t="s">
        <v>1814</v>
      </c>
      <c r="N31" s="19">
        <v>46293.813252314816</v>
      </c>
      <c r="O31" s="17" t="s">
        <v>1815</v>
      </c>
    </row>
    <row r="32" spans="1:15" ht="40.5" customHeight="1">
      <c r="A32" s="14">
        <v>31</v>
      </c>
      <c r="B32" s="14" t="s">
        <v>708</v>
      </c>
      <c r="C32" s="14" t="s">
        <v>1595</v>
      </c>
      <c r="D32" s="14" t="s">
        <v>2084</v>
      </c>
      <c r="E32" s="14" t="s">
        <v>1596</v>
      </c>
      <c r="F32" s="14" t="s">
        <v>1553</v>
      </c>
      <c r="G32" s="14" t="s">
        <v>1816</v>
      </c>
      <c r="H32" s="14" t="s">
        <v>1812</v>
      </c>
      <c r="I32" s="14" t="s">
        <v>1817</v>
      </c>
      <c r="J32" s="15">
        <v>46318</v>
      </c>
      <c r="K32" s="14" t="s">
        <v>1818</v>
      </c>
      <c r="L32" s="14" t="s">
        <v>1653</v>
      </c>
      <c r="M32" s="14" t="s">
        <v>1814</v>
      </c>
      <c r="N32" s="16">
        <v>46293.813252314816</v>
      </c>
      <c r="O32" s="14" t="s">
        <v>1815</v>
      </c>
    </row>
    <row r="33" spans="1:15" ht="40.5" customHeight="1">
      <c r="A33" s="17">
        <v>32</v>
      </c>
      <c r="B33" s="17" t="s">
        <v>728</v>
      </c>
      <c r="C33" s="17" t="s">
        <v>1597</v>
      </c>
      <c r="D33" s="17" t="s">
        <v>2085</v>
      </c>
      <c r="E33" s="17" t="s">
        <v>1596</v>
      </c>
      <c r="F33" s="17" t="s">
        <v>1548</v>
      </c>
      <c r="G33" s="17" t="s">
        <v>1819</v>
      </c>
      <c r="H33" s="17" t="s">
        <v>1820</v>
      </c>
      <c r="I33" s="17" t="s">
        <v>1821</v>
      </c>
      <c r="J33" s="18">
        <v>46318</v>
      </c>
      <c r="K33" s="17" t="s">
        <v>1652</v>
      </c>
      <c r="L33" s="17" t="s">
        <v>1653</v>
      </c>
      <c r="M33" s="17" t="s">
        <v>1822</v>
      </c>
      <c r="N33" s="19">
        <v>46318.004918981482</v>
      </c>
      <c r="O33" s="17" t="s">
        <v>1823</v>
      </c>
    </row>
    <row r="34" spans="1:15" ht="67.5" customHeight="1">
      <c r="A34" s="14">
        <v>33</v>
      </c>
      <c r="B34" s="14" t="s">
        <v>747</v>
      </c>
      <c r="C34" s="14" t="s">
        <v>1598</v>
      </c>
      <c r="D34" s="14" t="s">
        <v>2086</v>
      </c>
      <c r="E34" s="14" t="s">
        <v>1599</v>
      </c>
      <c r="F34" s="14" t="s">
        <v>1553</v>
      </c>
      <c r="G34" s="14" t="s">
        <v>1824</v>
      </c>
      <c r="H34" s="14" t="s">
        <v>1825</v>
      </c>
      <c r="I34" s="14" t="s">
        <v>1826</v>
      </c>
      <c r="J34" s="15">
        <v>46318</v>
      </c>
      <c r="K34" s="14" t="s">
        <v>1727</v>
      </c>
      <c r="L34" s="14" t="s">
        <v>1653</v>
      </c>
      <c r="M34" s="14" t="s">
        <v>1827</v>
      </c>
      <c r="N34" s="16">
        <v>46190.602442129632</v>
      </c>
      <c r="O34" s="14" t="s">
        <v>1828</v>
      </c>
    </row>
    <row r="35" spans="1:15" ht="27" customHeight="1">
      <c r="A35" s="17">
        <v>34</v>
      </c>
      <c r="B35" s="17" t="s">
        <v>766</v>
      </c>
      <c r="C35" s="17" t="s">
        <v>1600</v>
      </c>
      <c r="D35" s="17" t="s">
        <v>2087</v>
      </c>
      <c r="E35" s="17" t="s">
        <v>1558</v>
      </c>
      <c r="F35" s="17" t="s">
        <v>1548</v>
      </c>
      <c r="G35" s="17" t="s">
        <v>1829</v>
      </c>
      <c r="H35" s="17" t="s">
        <v>1830</v>
      </c>
      <c r="I35" s="17" t="s">
        <v>1831</v>
      </c>
      <c r="J35" s="18">
        <v>46318</v>
      </c>
      <c r="K35" s="17" t="s">
        <v>1727</v>
      </c>
      <c r="L35" s="17" t="s">
        <v>1653</v>
      </c>
      <c r="M35" s="17" t="s">
        <v>1832</v>
      </c>
      <c r="N35" s="19">
        <v>45616.482187499998</v>
      </c>
      <c r="O35" s="17" t="s">
        <v>1833</v>
      </c>
    </row>
    <row r="36" spans="1:15" ht="40.5" customHeight="1">
      <c r="A36" s="14">
        <v>35</v>
      </c>
      <c r="B36" s="14" t="s">
        <v>787</v>
      </c>
      <c r="C36" s="14" t="s">
        <v>1601</v>
      </c>
      <c r="D36" s="14" t="s">
        <v>2088</v>
      </c>
      <c r="E36" s="14" t="s">
        <v>1602</v>
      </c>
      <c r="F36" s="14" t="s">
        <v>1548</v>
      </c>
      <c r="G36" s="14" t="s">
        <v>1834</v>
      </c>
      <c r="H36" s="14" t="s">
        <v>1835</v>
      </c>
      <c r="I36" s="14" t="s">
        <v>1836</v>
      </c>
      <c r="J36" s="15">
        <v>46318</v>
      </c>
      <c r="K36" s="14" t="s">
        <v>1837</v>
      </c>
      <c r="L36" s="14" t="s">
        <v>1838</v>
      </c>
      <c r="M36" s="14" t="s">
        <v>1839</v>
      </c>
      <c r="N36" s="16">
        <v>45411.307638888888</v>
      </c>
      <c r="O36" s="14" t="s">
        <v>1840</v>
      </c>
    </row>
    <row r="37" spans="1:15" ht="27" customHeight="1">
      <c r="A37" s="17">
        <v>36</v>
      </c>
      <c r="B37" s="17" t="s">
        <v>805</v>
      </c>
      <c r="C37" s="17" t="s">
        <v>1603</v>
      </c>
      <c r="D37" s="17" t="s">
        <v>2089</v>
      </c>
      <c r="E37" s="17" t="s">
        <v>1558</v>
      </c>
      <c r="F37" s="17" t="s">
        <v>1553</v>
      </c>
      <c r="G37" s="17" t="s">
        <v>1841</v>
      </c>
      <c r="H37" s="17" t="s">
        <v>1842</v>
      </c>
      <c r="I37" s="17" t="s">
        <v>1843</v>
      </c>
      <c r="J37" s="18">
        <v>46318</v>
      </c>
      <c r="K37" s="17" t="s">
        <v>1727</v>
      </c>
      <c r="L37" s="17" t="s">
        <v>1653</v>
      </c>
      <c r="M37" s="17" t="s">
        <v>1844</v>
      </c>
      <c r="N37" s="19">
        <v>45770.658055555556</v>
      </c>
      <c r="O37" s="17" t="s">
        <v>1845</v>
      </c>
    </row>
    <row r="38" spans="1:15" ht="40.5" customHeight="1">
      <c r="A38" s="14">
        <v>37</v>
      </c>
      <c r="B38" s="14" t="s">
        <v>823</v>
      </c>
      <c r="C38" s="14" t="s">
        <v>1604</v>
      </c>
      <c r="D38" s="14" t="s">
        <v>2090</v>
      </c>
      <c r="E38" s="14" t="s">
        <v>1605</v>
      </c>
      <c r="F38" s="14" t="s">
        <v>1553</v>
      </c>
      <c r="G38" s="14" t="s">
        <v>1846</v>
      </c>
      <c r="H38" s="14" t="s">
        <v>1847</v>
      </c>
      <c r="I38" s="14" t="s">
        <v>1848</v>
      </c>
      <c r="J38" s="15">
        <v>46318</v>
      </c>
      <c r="K38" s="14" t="s">
        <v>1849</v>
      </c>
      <c r="L38" s="14" t="s">
        <v>1653</v>
      </c>
      <c r="M38" s="14" t="s">
        <v>1850</v>
      </c>
      <c r="N38" s="16">
        <v>46155.211689814816</v>
      </c>
      <c r="O38" s="14" t="s">
        <v>1851</v>
      </c>
    </row>
    <row r="39" spans="1:15" ht="27" customHeight="1">
      <c r="A39" s="17">
        <v>38</v>
      </c>
      <c r="B39" s="17" t="s">
        <v>845</v>
      </c>
      <c r="C39" s="17" t="s">
        <v>1606</v>
      </c>
      <c r="D39" s="17" t="s">
        <v>2088</v>
      </c>
      <c r="E39" s="17" t="s">
        <v>1585</v>
      </c>
      <c r="F39" s="17" t="s">
        <v>1548</v>
      </c>
      <c r="G39" s="17" t="s">
        <v>1852</v>
      </c>
      <c r="H39" s="17" t="s">
        <v>1853</v>
      </c>
      <c r="I39" s="17" t="s">
        <v>1854</v>
      </c>
      <c r="J39" s="18">
        <v>46318</v>
      </c>
      <c r="K39" s="17" t="s">
        <v>1652</v>
      </c>
      <c r="L39" s="17" t="s">
        <v>1653</v>
      </c>
      <c r="M39" s="17" t="s">
        <v>1855</v>
      </c>
      <c r="N39" s="19">
        <v>45517.139826388891</v>
      </c>
      <c r="O39" s="17" t="s">
        <v>1856</v>
      </c>
    </row>
    <row r="40" spans="1:15" ht="40.5" customHeight="1">
      <c r="A40" s="14">
        <v>39</v>
      </c>
      <c r="B40" s="14" t="s">
        <v>866</v>
      </c>
      <c r="C40" s="14" t="s">
        <v>1607</v>
      </c>
      <c r="D40" s="14" t="s">
        <v>2091</v>
      </c>
      <c r="E40" s="14" t="s">
        <v>1575</v>
      </c>
      <c r="F40" s="14" t="s">
        <v>1548</v>
      </c>
      <c r="G40" s="14" t="s">
        <v>1857</v>
      </c>
      <c r="H40" s="14" t="s">
        <v>1858</v>
      </c>
      <c r="I40" s="14" t="s">
        <v>1859</v>
      </c>
      <c r="J40" s="15">
        <v>46318</v>
      </c>
      <c r="K40" s="14" t="s">
        <v>1727</v>
      </c>
      <c r="L40" s="14" t="s">
        <v>1653</v>
      </c>
      <c r="M40" s="14" t="s">
        <v>1860</v>
      </c>
      <c r="N40" s="16">
        <v>46153.950972222221</v>
      </c>
      <c r="O40" s="14" t="s">
        <v>1861</v>
      </c>
    </row>
    <row r="41" spans="1:15" ht="40.5" customHeight="1">
      <c r="A41" s="17">
        <v>40</v>
      </c>
      <c r="B41" s="17" t="s">
        <v>887</v>
      </c>
      <c r="C41" s="17" t="s">
        <v>1608</v>
      </c>
      <c r="D41" s="17" t="s">
        <v>2092</v>
      </c>
      <c r="E41" s="17" t="s">
        <v>1569</v>
      </c>
      <c r="F41" s="17" t="s">
        <v>1553</v>
      </c>
      <c r="G41" s="17" t="s">
        <v>1862</v>
      </c>
      <c r="H41" s="17" t="s">
        <v>1863</v>
      </c>
      <c r="I41" s="17" t="s">
        <v>1864</v>
      </c>
      <c r="J41" s="18">
        <v>46318</v>
      </c>
      <c r="K41" s="17" t="s">
        <v>1792</v>
      </c>
      <c r="L41" s="17" t="s">
        <v>1653</v>
      </c>
      <c r="M41" s="17" t="s">
        <v>1865</v>
      </c>
      <c r="N41" s="19">
        <v>45988.516956018517</v>
      </c>
      <c r="O41" s="17" t="s">
        <v>1866</v>
      </c>
    </row>
    <row r="42" spans="1:15" ht="27" customHeight="1">
      <c r="A42" s="14">
        <v>41</v>
      </c>
      <c r="B42" s="14" t="s">
        <v>906</v>
      </c>
      <c r="C42" s="14" t="s">
        <v>2093</v>
      </c>
      <c r="D42" s="14" t="s">
        <v>2094</v>
      </c>
      <c r="E42" s="14" t="s">
        <v>1579</v>
      </c>
      <c r="F42" s="14" t="s">
        <v>1548</v>
      </c>
      <c r="G42" s="14" t="s">
        <v>1867</v>
      </c>
      <c r="H42" s="14" t="s">
        <v>1868</v>
      </c>
      <c r="I42" s="14" t="s">
        <v>1869</v>
      </c>
      <c r="J42" s="15">
        <v>46318</v>
      </c>
      <c r="K42" s="14" t="s">
        <v>1870</v>
      </c>
      <c r="L42" s="14" t="s">
        <v>1653</v>
      </c>
      <c r="M42" s="14" t="s">
        <v>1871</v>
      </c>
      <c r="N42" s="16">
        <v>46290.258020833331</v>
      </c>
      <c r="O42" s="14" t="s">
        <v>1872</v>
      </c>
    </row>
    <row r="43" spans="1:15" ht="40.5" customHeight="1">
      <c r="A43" s="17">
        <v>42</v>
      </c>
      <c r="B43" s="17" t="s">
        <v>923</v>
      </c>
      <c r="C43" s="17" t="s">
        <v>1609</v>
      </c>
      <c r="D43" s="17" t="s">
        <v>2095</v>
      </c>
      <c r="E43" s="17" t="s">
        <v>1605</v>
      </c>
      <c r="F43" s="17" t="s">
        <v>1553</v>
      </c>
      <c r="G43" s="17" t="s">
        <v>1873</v>
      </c>
      <c r="H43" s="17" t="s">
        <v>1874</v>
      </c>
      <c r="I43" s="17" t="s">
        <v>1875</v>
      </c>
      <c r="J43" s="18">
        <v>46318</v>
      </c>
      <c r="K43" s="17" t="s">
        <v>1761</v>
      </c>
      <c r="L43" s="17" t="s">
        <v>1653</v>
      </c>
      <c r="M43" s="17" t="s">
        <v>1876</v>
      </c>
      <c r="N43" s="19">
        <v>46066.186168981483</v>
      </c>
      <c r="O43" s="17" t="s">
        <v>1877</v>
      </c>
    </row>
    <row r="44" spans="1:15" ht="27" customHeight="1">
      <c r="A44" s="14">
        <v>43</v>
      </c>
      <c r="B44" s="14" t="s">
        <v>940</v>
      </c>
      <c r="C44" s="14" t="s">
        <v>2096</v>
      </c>
      <c r="D44" s="14" t="s">
        <v>2097</v>
      </c>
      <c r="E44" s="14" t="s">
        <v>1547</v>
      </c>
      <c r="F44" s="14" t="s">
        <v>1548</v>
      </c>
      <c r="G44" s="14" t="s">
        <v>1878</v>
      </c>
      <c r="H44" s="14" t="s">
        <v>1879</v>
      </c>
      <c r="I44" s="14" t="s">
        <v>1880</v>
      </c>
      <c r="J44" s="15">
        <v>46318</v>
      </c>
      <c r="K44" s="14" t="s">
        <v>1881</v>
      </c>
      <c r="L44" s="14" t="s">
        <v>1838</v>
      </c>
      <c r="M44" s="14" t="s">
        <v>1882</v>
      </c>
      <c r="N44" s="16">
        <v>45958.61451388889</v>
      </c>
      <c r="O44" s="14" t="s">
        <v>1883</v>
      </c>
    </row>
    <row r="45" spans="1:15" ht="142.5">
      <c r="A45" s="17">
        <v>44</v>
      </c>
      <c r="B45" s="17" t="s">
        <v>958</v>
      </c>
      <c r="C45" s="17" t="s">
        <v>1610</v>
      </c>
      <c r="D45" s="17" t="s">
        <v>2098</v>
      </c>
      <c r="E45" s="17" t="s">
        <v>1547</v>
      </c>
      <c r="F45" s="17" t="s">
        <v>1548</v>
      </c>
      <c r="G45" s="17" t="s">
        <v>1884</v>
      </c>
      <c r="H45" s="17" t="s">
        <v>1885</v>
      </c>
      <c r="I45" s="17" t="s">
        <v>1886</v>
      </c>
      <c r="J45" s="18">
        <v>46318</v>
      </c>
      <c r="K45" s="17" t="s">
        <v>1652</v>
      </c>
      <c r="L45" s="17" t="s">
        <v>1653</v>
      </c>
      <c r="M45" s="17" t="s">
        <v>1887</v>
      </c>
      <c r="N45" s="19">
        <v>46061.708796296298</v>
      </c>
      <c r="O45" s="17" t="s">
        <v>1888</v>
      </c>
    </row>
    <row r="46" spans="1:15" ht="40.5" customHeight="1">
      <c r="A46" s="14">
        <v>45</v>
      </c>
      <c r="B46" s="14" t="s">
        <v>979</v>
      </c>
      <c r="C46" s="14" t="s">
        <v>1611</v>
      </c>
      <c r="D46" s="14" t="s">
        <v>2079</v>
      </c>
      <c r="E46" s="14" t="s">
        <v>1596</v>
      </c>
      <c r="F46" s="14" t="s">
        <v>1548</v>
      </c>
      <c r="G46" s="14" t="s">
        <v>1889</v>
      </c>
      <c r="H46" s="14" t="s">
        <v>1890</v>
      </c>
      <c r="I46" s="14" t="s">
        <v>1891</v>
      </c>
      <c r="J46" s="15">
        <v>46318</v>
      </c>
      <c r="K46" s="14" t="s">
        <v>1652</v>
      </c>
      <c r="L46" s="14" t="s">
        <v>1653</v>
      </c>
      <c r="M46" s="14" t="s">
        <v>1892</v>
      </c>
      <c r="N46" s="16">
        <v>45405.368958333333</v>
      </c>
      <c r="O46" s="14" t="s">
        <v>1893</v>
      </c>
    </row>
    <row r="47" spans="1:15" ht="40.5" customHeight="1">
      <c r="A47" s="17">
        <v>46</v>
      </c>
      <c r="B47" s="17" t="s">
        <v>998</v>
      </c>
      <c r="C47" s="17" t="s">
        <v>1612</v>
      </c>
      <c r="D47" s="17" t="s">
        <v>2099</v>
      </c>
      <c r="E47" s="17" t="s">
        <v>1613</v>
      </c>
      <c r="F47" s="17" t="s">
        <v>1548</v>
      </c>
      <c r="G47" s="17" t="s">
        <v>1894</v>
      </c>
      <c r="H47" s="17" t="s">
        <v>1895</v>
      </c>
      <c r="I47" s="17" t="s">
        <v>1896</v>
      </c>
      <c r="J47" s="18">
        <v>46318</v>
      </c>
      <c r="K47" s="17" t="s">
        <v>1652</v>
      </c>
      <c r="L47" s="17" t="s">
        <v>1653</v>
      </c>
      <c r="M47" s="17" t="s">
        <v>1897</v>
      </c>
      <c r="N47" s="19">
        <v>46268.873796296299</v>
      </c>
      <c r="O47" s="17" t="s">
        <v>1898</v>
      </c>
    </row>
    <row r="48" spans="1:15" ht="40.5" customHeight="1">
      <c r="A48" s="14">
        <v>47</v>
      </c>
      <c r="B48" s="14" t="s">
        <v>1019</v>
      </c>
      <c r="C48" s="14" t="s">
        <v>1614</v>
      </c>
      <c r="D48" s="14" t="s">
        <v>2100</v>
      </c>
      <c r="E48" s="14" t="s">
        <v>1615</v>
      </c>
      <c r="F48" s="14" t="s">
        <v>1548</v>
      </c>
      <c r="G48" s="14" t="s">
        <v>1899</v>
      </c>
      <c r="H48" s="14" t="s">
        <v>1900</v>
      </c>
      <c r="I48" s="14" t="s">
        <v>1901</v>
      </c>
      <c r="J48" s="15">
        <v>46318</v>
      </c>
      <c r="K48" s="14" t="s">
        <v>1727</v>
      </c>
      <c r="L48" s="14" t="s">
        <v>1653</v>
      </c>
      <c r="M48" s="14" t="s">
        <v>1902</v>
      </c>
      <c r="N48" s="16">
        <v>45978.855023148149</v>
      </c>
      <c r="O48" s="14" t="s">
        <v>1903</v>
      </c>
    </row>
    <row r="49" spans="1:15" ht="40.5" customHeight="1">
      <c r="A49" s="17">
        <v>48</v>
      </c>
      <c r="B49" s="17" t="s">
        <v>1040</v>
      </c>
      <c r="C49" s="17" t="s">
        <v>1616</v>
      </c>
      <c r="D49" s="17" t="s">
        <v>2101</v>
      </c>
      <c r="E49" s="17" t="s">
        <v>1617</v>
      </c>
      <c r="F49" s="17" t="s">
        <v>1553</v>
      </c>
      <c r="G49" s="17" t="s">
        <v>1904</v>
      </c>
      <c r="H49" s="17" t="s">
        <v>1905</v>
      </c>
      <c r="I49" s="17" t="s">
        <v>1906</v>
      </c>
      <c r="J49" s="18">
        <v>46318</v>
      </c>
      <c r="K49" s="17" t="s">
        <v>1907</v>
      </c>
      <c r="L49" s="17" t="s">
        <v>1653</v>
      </c>
      <c r="M49" s="17" t="s">
        <v>1908</v>
      </c>
      <c r="N49" s="19">
        <v>46311.059074074074</v>
      </c>
      <c r="O49" s="17" t="s">
        <v>1909</v>
      </c>
    </row>
    <row r="50" spans="1:15" ht="40.5" customHeight="1">
      <c r="A50" s="14">
        <v>49</v>
      </c>
      <c r="B50" s="14" t="s">
        <v>1060</v>
      </c>
      <c r="C50" s="14" t="s">
        <v>2102</v>
      </c>
      <c r="D50" s="14" t="s">
        <v>2103</v>
      </c>
      <c r="E50" s="14" t="s">
        <v>1618</v>
      </c>
      <c r="F50" s="14" t="s">
        <v>1548</v>
      </c>
      <c r="G50" s="14" t="s">
        <v>1910</v>
      </c>
      <c r="H50" s="14" t="s">
        <v>1911</v>
      </c>
      <c r="I50" s="14" t="s">
        <v>1912</v>
      </c>
      <c r="J50" s="15">
        <v>46318</v>
      </c>
      <c r="K50" s="14" t="s">
        <v>1913</v>
      </c>
      <c r="L50" s="14" t="s">
        <v>1653</v>
      </c>
      <c r="M50" s="14" t="s">
        <v>1914</v>
      </c>
      <c r="N50" s="16">
        <v>45872.192430555559</v>
      </c>
      <c r="O50" s="14" t="s">
        <v>1915</v>
      </c>
    </row>
    <row r="51" spans="1:15" ht="40.5" customHeight="1">
      <c r="A51" s="17">
        <v>50</v>
      </c>
      <c r="B51" s="17" t="s">
        <v>1079</v>
      </c>
      <c r="C51" s="17" t="s">
        <v>1619</v>
      </c>
      <c r="D51" s="17" t="s">
        <v>2104</v>
      </c>
      <c r="E51" s="17" t="s">
        <v>1558</v>
      </c>
      <c r="F51" s="17" t="s">
        <v>1548</v>
      </c>
      <c r="G51" s="17" t="s">
        <v>1916</v>
      </c>
      <c r="H51" s="17" t="s">
        <v>1917</v>
      </c>
      <c r="I51" s="17" t="s">
        <v>1918</v>
      </c>
      <c r="J51" s="18">
        <v>46318</v>
      </c>
      <c r="K51" s="17" t="s">
        <v>1727</v>
      </c>
      <c r="L51" s="17" t="s">
        <v>1653</v>
      </c>
      <c r="M51" s="17" t="s">
        <v>1919</v>
      </c>
      <c r="N51" s="19">
        <v>46058.838009259256</v>
      </c>
      <c r="O51" s="17" t="s">
        <v>1920</v>
      </c>
    </row>
    <row r="52" spans="1:15" ht="40.5" customHeight="1">
      <c r="A52" s="14">
        <v>51</v>
      </c>
      <c r="B52" s="14" t="s">
        <v>1099</v>
      </c>
      <c r="C52" s="14" t="s">
        <v>1620</v>
      </c>
      <c r="D52" s="14" t="s">
        <v>2105</v>
      </c>
      <c r="E52" s="14" t="s">
        <v>1605</v>
      </c>
      <c r="F52" s="14" t="s">
        <v>1553</v>
      </c>
      <c r="G52" s="14" t="s">
        <v>1921</v>
      </c>
      <c r="H52" s="14" t="s">
        <v>1922</v>
      </c>
      <c r="I52" s="14" t="s">
        <v>1923</v>
      </c>
      <c r="J52" s="15">
        <v>46318</v>
      </c>
      <c r="K52" s="14" t="s">
        <v>1761</v>
      </c>
      <c r="L52" s="14" t="s">
        <v>1653</v>
      </c>
      <c r="M52" s="14" t="s">
        <v>1924</v>
      </c>
      <c r="N52" s="16">
        <v>46139.111539351848</v>
      </c>
      <c r="O52" s="14" t="s">
        <v>1925</v>
      </c>
    </row>
    <row r="53" spans="1:15" ht="40.5" customHeight="1">
      <c r="A53" s="17">
        <v>52</v>
      </c>
      <c r="B53" s="17" t="s">
        <v>1119</v>
      </c>
      <c r="C53" s="17" t="s">
        <v>2106</v>
      </c>
      <c r="D53" s="17" t="s">
        <v>1580</v>
      </c>
      <c r="E53" s="17" t="s">
        <v>1581</v>
      </c>
      <c r="F53" s="17" t="s">
        <v>1548</v>
      </c>
      <c r="G53" s="17" t="s">
        <v>1926</v>
      </c>
      <c r="H53" s="17" t="s">
        <v>1927</v>
      </c>
      <c r="I53" s="17" t="s">
        <v>1926</v>
      </c>
      <c r="J53" s="18">
        <v>46318</v>
      </c>
      <c r="K53" s="17" t="s">
        <v>1928</v>
      </c>
      <c r="L53" s="17" t="s">
        <v>1929</v>
      </c>
      <c r="M53" s="17" t="s">
        <v>1930</v>
      </c>
      <c r="N53" s="20" t="s">
        <v>1580</v>
      </c>
      <c r="O53" s="17" t="s">
        <v>1926</v>
      </c>
    </row>
    <row r="54" spans="1:15" ht="40.5" customHeight="1">
      <c r="A54" s="14">
        <v>53</v>
      </c>
      <c r="B54" s="14" t="s">
        <v>1139</v>
      </c>
      <c r="C54" s="14" t="s">
        <v>1621</v>
      </c>
      <c r="D54" s="14" t="s">
        <v>2107</v>
      </c>
      <c r="E54" s="14" t="s">
        <v>1605</v>
      </c>
      <c r="F54" s="14" t="s">
        <v>1553</v>
      </c>
      <c r="G54" s="14" t="s">
        <v>1931</v>
      </c>
      <c r="H54" s="14" t="s">
        <v>1932</v>
      </c>
      <c r="I54" s="14" t="s">
        <v>1933</v>
      </c>
      <c r="J54" s="15">
        <v>46318</v>
      </c>
      <c r="K54" s="14" t="s">
        <v>1934</v>
      </c>
      <c r="L54" s="14" t="s">
        <v>1929</v>
      </c>
      <c r="M54" s="14" t="s">
        <v>1935</v>
      </c>
      <c r="N54" s="16" t="s">
        <v>1936</v>
      </c>
      <c r="O54" s="14" t="s">
        <v>1931</v>
      </c>
    </row>
    <row r="55" spans="1:15" ht="40.5" customHeight="1">
      <c r="A55" s="17">
        <v>54</v>
      </c>
      <c r="B55" s="17" t="s">
        <v>1160</v>
      </c>
      <c r="C55" s="17" t="s">
        <v>2108</v>
      </c>
      <c r="D55" s="17" t="s">
        <v>2109</v>
      </c>
      <c r="E55" s="17" t="s">
        <v>1605</v>
      </c>
      <c r="F55" s="17" t="s">
        <v>1548</v>
      </c>
      <c r="G55" s="17" t="s">
        <v>1937</v>
      </c>
      <c r="H55" s="17" t="s">
        <v>1938</v>
      </c>
      <c r="I55" s="17" t="s">
        <v>1939</v>
      </c>
      <c r="J55" s="18">
        <v>46318</v>
      </c>
      <c r="K55" s="17" t="s">
        <v>1940</v>
      </c>
      <c r="L55" s="17" t="s">
        <v>1653</v>
      </c>
      <c r="M55" s="17" t="s">
        <v>1941</v>
      </c>
      <c r="N55" s="19">
        <v>46129.50886574074</v>
      </c>
      <c r="O55" s="17" t="s">
        <v>1942</v>
      </c>
    </row>
    <row r="56" spans="1:15" ht="27" customHeight="1">
      <c r="A56" s="14">
        <v>55</v>
      </c>
      <c r="B56" s="14" t="s">
        <v>1181</v>
      </c>
      <c r="C56" s="14" t="s">
        <v>1622</v>
      </c>
      <c r="D56" s="14" t="s">
        <v>2110</v>
      </c>
      <c r="E56" s="14" t="s">
        <v>1575</v>
      </c>
      <c r="F56" s="14" t="s">
        <v>1548</v>
      </c>
      <c r="G56" s="14" t="s">
        <v>1943</v>
      </c>
      <c r="H56" s="14" t="s">
        <v>1944</v>
      </c>
      <c r="I56" s="14" t="s">
        <v>1945</v>
      </c>
      <c r="J56" s="15">
        <v>46318</v>
      </c>
      <c r="K56" s="14" t="s">
        <v>1946</v>
      </c>
      <c r="L56" s="14" t="s">
        <v>1653</v>
      </c>
      <c r="M56" s="14" t="s">
        <v>1947</v>
      </c>
      <c r="N56" s="16">
        <v>46318.367465277777</v>
      </c>
      <c r="O56" s="14" t="s">
        <v>1948</v>
      </c>
    </row>
    <row r="57" spans="1:15" ht="40.5" customHeight="1">
      <c r="A57" s="17">
        <v>56</v>
      </c>
      <c r="B57" s="17" t="s">
        <v>1198</v>
      </c>
      <c r="C57" s="17" t="s">
        <v>1623</v>
      </c>
      <c r="D57" s="17" t="s">
        <v>2111</v>
      </c>
      <c r="E57" s="17" t="s">
        <v>1575</v>
      </c>
      <c r="F57" s="17" t="s">
        <v>1548</v>
      </c>
      <c r="G57" s="17" t="s">
        <v>1949</v>
      </c>
      <c r="H57" s="17" t="s">
        <v>1950</v>
      </c>
      <c r="I57" s="17" t="s">
        <v>1951</v>
      </c>
      <c r="J57" s="18">
        <v>46318</v>
      </c>
      <c r="K57" s="17" t="s">
        <v>1727</v>
      </c>
      <c r="L57" s="17" t="s">
        <v>1653</v>
      </c>
      <c r="M57" s="17" t="s">
        <v>1952</v>
      </c>
      <c r="N57" s="19">
        <v>46295.28634259259</v>
      </c>
      <c r="O57" s="17" t="s">
        <v>1953</v>
      </c>
    </row>
    <row r="58" spans="1:15" ht="27" customHeight="1">
      <c r="A58" s="14">
        <v>57</v>
      </c>
      <c r="B58" s="14" t="s">
        <v>1216</v>
      </c>
      <c r="C58" s="14" t="s">
        <v>1624</v>
      </c>
      <c r="D58" s="14" t="s">
        <v>2112</v>
      </c>
      <c r="E58" s="14" t="s">
        <v>1625</v>
      </c>
      <c r="F58" s="14" t="s">
        <v>1553</v>
      </c>
      <c r="G58" s="14" t="s">
        <v>1954</v>
      </c>
      <c r="H58" s="14" t="s">
        <v>1955</v>
      </c>
      <c r="I58" s="14" t="s">
        <v>1956</v>
      </c>
      <c r="J58" s="15">
        <v>46318</v>
      </c>
      <c r="K58" s="14" t="s">
        <v>1957</v>
      </c>
      <c r="L58" s="14" t="s">
        <v>1653</v>
      </c>
      <c r="M58" s="14" t="s">
        <v>1958</v>
      </c>
      <c r="N58" s="16">
        <v>46132.039594907408</v>
      </c>
      <c r="O58" s="14" t="s">
        <v>1959</v>
      </c>
    </row>
    <row r="59" spans="1:15" ht="27" customHeight="1">
      <c r="A59" s="17">
        <v>58</v>
      </c>
      <c r="B59" s="17" t="s">
        <v>1236</v>
      </c>
      <c r="C59" s="17" t="s">
        <v>1626</v>
      </c>
      <c r="D59" s="17" t="s">
        <v>2113</v>
      </c>
      <c r="E59" s="17" t="s">
        <v>1627</v>
      </c>
      <c r="F59" s="17" t="s">
        <v>1548</v>
      </c>
      <c r="G59" s="17" t="s">
        <v>1960</v>
      </c>
      <c r="H59" s="17" t="s">
        <v>1961</v>
      </c>
      <c r="I59" s="17" t="s">
        <v>1962</v>
      </c>
      <c r="J59" s="18">
        <v>46318</v>
      </c>
      <c r="K59" s="17" t="s">
        <v>1652</v>
      </c>
      <c r="L59" s="17" t="s">
        <v>1653</v>
      </c>
      <c r="M59" s="17" t="s">
        <v>1963</v>
      </c>
      <c r="N59" s="19">
        <v>46267.076782407406</v>
      </c>
      <c r="O59" s="17" t="s">
        <v>1964</v>
      </c>
    </row>
    <row r="60" spans="1:15" ht="27" customHeight="1">
      <c r="A60" s="14">
        <v>59</v>
      </c>
      <c r="B60" s="14" t="s">
        <v>1256</v>
      </c>
      <c r="C60" s="14" t="s">
        <v>1628</v>
      </c>
      <c r="D60" s="14" t="s">
        <v>2114</v>
      </c>
      <c r="E60" s="14" t="s">
        <v>1575</v>
      </c>
      <c r="F60" s="14" t="s">
        <v>1548</v>
      </c>
      <c r="G60" s="14" t="s">
        <v>1965</v>
      </c>
      <c r="H60" s="14" t="s">
        <v>1961</v>
      </c>
      <c r="I60" s="14" t="s">
        <v>1966</v>
      </c>
      <c r="J60" s="15">
        <v>46318</v>
      </c>
      <c r="K60" s="14" t="s">
        <v>1967</v>
      </c>
      <c r="L60" s="14" t="s">
        <v>1653</v>
      </c>
      <c r="M60" s="14" t="s">
        <v>1963</v>
      </c>
      <c r="N60" s="16">
        <v>46267.076782407406</v>
      </c>
      <c r="O60" s="14" t="s">
        <v>1964</v>
      </c>
    </row>
    <row r="61" spans="1:15" ht="40.5" customHeight="1">
      <c r="A61" s="17">
        <v>60</v>
      </c>
      <c r="B61" s="17" t="s">
        <v>1275</v>
      </c>
      <c r="C61" s="17" t="s">
        <v>1629</v>
      </c>
      <c r="D61" s="17" t="s">
        <v>2115</v>
      </c>
      <c r="E61" s="17" t="s">
        <v>1558</v>
      </c>
      <c r="F61" s="17" t="s">
        <v>1548</v>
      </c>
      <c r="G61" s="17" t="s">
        <v>1968</v>
      </c>
      <c r="H61" s="17" t="s">
        <v>1969</v>
      </c>
      <c r="I61" s="17" t="s">
        <v>1970</v>
      </c>
      <c r="J61" s="18">
        <v>46318</v>
      </c>
      <c r="K61" s="17" t="s">
        <v>1971</v>
      </c>
      <c r="L61" s="17" t="s">
        <v>1653</v>
      </c>
      <c r="M61" s="17" t="s">
        <v>1972</v>
      </c>
      <c r="N61" s="19">
        <v>46307.741273148145</v>
      </c>
      <c r="O61" s="17" t="s">
        <v>1973</v>
      </c>
    </row>
    <row r="62" spans="1:15" ht="27" customHeight="1">
      <c r="A62" s="14">
        <v>61</v>
      </c>
      <c r="B62" s="14" t="s">
        <v>1293</v>
      </c>
      <c r="C62" s="14" t="s">
        <v>1630</v>
      </c>
      <c r="D62" s="14" t="s">
        <v>2116</v>
      </c>
      <c r="E62" s="14" t="s">
        <v>1558</v>
      </c>
      <c r="F62" s="14" t="s">
        <v>1548</v>
      </c>
      <c r="G62" s="14" t="s">
        <v>1974</v>
      </c>
      <c r="H62" s="14" t="s">
        <v>1975</v>
      </c>
      <c r="I62" s="14" t="s">
        <v>1976</v>
      </c>
      <c r="J62" s="15">
        <v>46318</v>
      </c>
      <c r="K62" s="14" t="s">
        <v>1727</v>
      </c>
      <c r="L62" s="14" t="s">
        <v>1653</v>
      </c>
      <c r="M62" s="14" t="s">
        <v>1977</v>
      </c>
      <c r="N62" s="16">
        <v>46315.684178240743</v>
      </c>
      <c r="O62" s="14" t="s">
        <v>1978</v>
      </c>
    </row>
    <row r="63" spans="1:15" ht="40.5" customHeight="1">
      <c r="A63" s="17">
        <v>62</v>
      </c>
      <c r="B63" s="17" t="s">
        <v>1315</v>
      </c>
      <c r="C63" s="17" t="s">
        <v>1631</v>
      </c>
      <c r="D63" s="17" t="s">
        <v>2117</v>
      </c>
      <c r="E63" s="17" t="s">
        <v>1632</v>
      </c>
      <c r="F63" s="17" t="s">
        <v>1553</v>
      </c>
      <c r="G63" s="17" t="s">
        <v>1979</v>
      </c>
      <c r="H63" s="17" t="s">
        <v>1980</v>
      </c>
      <c r="I63" s="17" t="s">
        <v>1981</v>
      </c>
      <c r="J63" s="18">
        <v>46318</v>
      </c>
      <c r="K63" s="17" t="s">
        <v>1982</v>
      </c>
      <c r="L63" s="17" t="s">
        <v>1653</v>
      </c>
      <c r="M63" s="17" t="s">
        <v>1983</v>
      </c>
      <c r="N63" s="19">
        <v>46318.028912037036</v>
      </c>
      <c r="O63" s="17" t="s">
        <v>1984</v>
      </c>
    </row>
    <row r="64" spans="1:15" ht="40.5" customHeight="1">
      <c r="A64" s="14">
        <v>63</v>
      </c>
      <c r="B64" s="14" t="s">
        <v>1332</v>
      </c>
      <c r="C64" s="14" t="s">
        <v>1633</v>
      </c>
      <c r="D64" s="14" t="s">
        <v>2118</v>
      </c>
      <c r="E64" s="14" t="s">
        <v>1590</v>
      </c>
      <c r="F64" s="14" t="s">
        <v>1548</v>
      </c>
      <c r="G64" s="14" t="s">
        <v>1985</v>
      </c>
      <c r="H64" s="14" t="s">
        <v>1986</v>
      </c>
      <c r="I64" s="14" t="s">
        <v>1987</v>
      </c>
      <c r="J64" s="15">
        <v>46318</v>
      </c>
      <c r="K64" s="14" t="s">
        <v>1652</v>
      </c>
      <c r="L64" s="14" t="s">
        <v>1653</v>
      </c>
      <c r="M64" s="14" t="s">
        <v>1988</v>
      </c>
      <c r="N64" s="16">
        <v>45751.737222222226</v>
      </c>
      <c r="O64" s="14" t="s">
        <v>1989</v>
      </c>
    </row>
    <row r="65" spans="1:15" ht="54" customHeight="1">
      <c r="A65" s="17">
        <v>64</v>
      </c>
      <c r="B65" s="17" t="s">
        <v>1349</v>
      </c>
      <c r="C65" s="17" t="s">
        <v>2119</v>
      </c>
      <c r="D65" s="17" t="s">
        <v>2120</v>
      </c>
      <c r="E65" s="17" t="s">
        <v>1634</v>
      </c>
      <c r="F65" s="17" t="s">
        <v>1553</v>
      </c>
      <c r="G65" s="17" t="s">
        <v>1990</v>
      </c>
      <c r="H65" s="17" t="s">
        <v>1991</v>
      </c>
      <c r="I65" s="17" t="s">
        <v>1992</v>
      </c>
      <c r="J65" s="18">
        <v>46318</v>
      </c>
      <c r="K65" s="17" t="s">
        <v>1993</v>
      </c>
      <c r="L65" s="17" t="s">
        <v>1653</v>
      </c>
      <c r="M65" s="17" t="s">
        <v>1994</v>
      </c>
      <c r="N65" s="19">
        <v>45984.711863425924</v>
      </c>
      <c r="O65" s="17" t="s">
        <v>1995</v>
      </c>
    </row>
    <row r="66" spans="1:15" ht="40.5" customHeight="1">
      <c r="A66" s="14">
        <v>65</v>
      </c>
      <c r="B66" s="14" t="s">
        <v>1367</v>
      </c>
      <c r="C66" s="14" t="s">
        <v>1635</v>
      </c>
      <c r="D66" s="14" t="s">
        <v>2121</v>
      </c>
      <c r="E66" s="14" t="s">
        <v>1575</v>
      </c>
      <c r="F66" s="14" t="s">
        <v>1548</v>
      </c>
      <c r="G66" s="14" t="s">
        <v>1996</v>
      </c>
      <c r="H66" s="14" t="s">
        <v>1997</v>
      </c>
      <c r="I66" s="14" t="s">
        <v>1998</v>
      </c>
      <c r="J66" s="15">
        <v>46318</v>
      </c>
      <c r="K66" s="14" t="s">
        <v>1727</v>
      </c>
      <c r="L66" s="14" t="s">
        <v>1653</v>
      </c>
      <c r="M66" s="14" t="s">
        <v>1999</v>
      </c>
      <c r="N66" s="16">
        <v>46221.226168981484</v>
      </c>
      <c r="O66" s="14" t="s">
        <v>2000</v>
      </c>
    </row>
    <row r="67" spans="1:15" ht="27" customHeight="1">
      <c r="A67" s="17">
        <v>66</v>
      </c>
      <c r="B67" s="17" t="s">
        <v>1380</v>
      </c>
      <c r="C67" s="17" t="s">
        <v>1636</v>
      </c>
      <c r="D67" s="17" t="s">
        <v>2122</v>
      </c>
      <c r="E67" s="17" t="s">
        <v>1558</v>
      </c>
      <c r="F67" s="17" t="s">
        <v>1548</v>
      </c>
      <c r="G67" s="17" t="s">
        <v>2001</v>
      </c>
      <c r="H67" s="17" t="s">
        <v>2002</v>
      </c>
      <c r="I67" s="17" t="s">
        <v>2003</v>
      </c>
      <c r="J67" s="18">
        <v>46318</v>
      </c>
      <c r="K67" s="17" t="s">
        <v>2004</v>
      </c>
      <c r="L67" s="17" t="s">
        <v>1653</v>
      </c>
      <c r="M67" s="17" t="s">
        <v>1972</v>
      </c>
      <c r="N67" s="19">
        <v>46307.741273148145</v>
      </c>
      <c r="O67" s="17" t="s">
        <v>1973</v>
      </c>
    </row>
    <row r="68" spans="1:15" ht="27" customHeight="1">
      <c r="A68" s="14">
        <v>67</v>
      </c>
      <c r="B68" s="14" t="s">
        <v>1400</v>
      </c>
      <c r="C68" s="14" t="s">
        <v>2123</v>
      </c>
      <c r="D68" s="14" t="s">
        <v>2124</v>
      </c>
      <c r="E68" s="14" t="s">
        <v>1605</v>
      </c>
      <c r="F68" s="14" t="s">
        <v>1548</v>
      </c>
      <c r="G68" s="14" t="s">
        <v>2005</v>
      </c>
      <c r="H68" s="14" t="s">
        <v>2006</v>
      </c>
      <c r="I68" s="14" t="s">
        <v>2007</v>
      </c>
      <c r="J68" s="15">
        <v>46318</v>
      </c>
      <c r="K68" s="14" t="s">
        <v>2008</v>
      </c>
      <c r="L68" s="14" t="s">
        <v>1653</v>
      </c>
      <c r="M68" s="14" t="s">
        <v>2009</v>
      </c>
      <c r="N68" s="16">
        <v>45847.846296296295</v>
      </c>
      <c r="O68" s="14" t="s">
        <v>2010</v>
      </c>
    </row>
    <row r="69" spans="1:15" ht="27" customHeight="1">
      <c r="A69" s="17">
        <v>68</v>
      </c>
      <c r="B69" s="17" t="s">
        <v>1416</v>
      </c>
      <c r="C69" s="17" t="s">
        <v>1637</v>
      </c>
      <c r="D69" s="17" t="s">
        <v>2125</v>
      </c>
      <c r="E69" s="17" t="s">
        <v>1581</v>
      </c>
      <c r="F69" s="17" t="s">
        <v>1553</v>
      </c>
      <c r="G69" s="17" t="s">
        <v>2011</v>
      </c>
      <c r="H69" s="17" t="s">
        <v>2012</v>
      </c>
      <c r="I69" s="17" t="s">
        <v>2013</v>
      </c>
      <c r="J69" s="18">
        <v>46318</v>
      </c>
      <c r="K69" s="17" t="s">
        <v>1761</v>
      </c>
      <c r="L69" s="17" t="s">
        <v>1653</v>
      </c>
      <c r="M69" s="17" t="s">
        <v>2014</v>
      </c>
      <c r="N69" s="19">
        <v>46043.262071759258</v>
      </c>
      <c r="O69" s="17" t="s">
        <v>2015</v>
      </c>
    </row>
    <row r="70" spans="1:15" ht="40.5" customHeight="1">
      <c r="A70" s="14">
        <v>69</v>
      </c>
      <c r="B70" s="14" t="s">
        <v>1432</v>
      </c>
      <c r="C70" s="14" t="s">
        <v>2126</v>
      </c>
      <c r="D70" s="14" t="s">
        <v>2127</v>
      </c>
      <c r="E70" s="14" t="s">
        <v>1605</v>
      </c>
      <c r="F70" s="14" t="s">
        <v>1548</v>
      </c>
      <c r="G70" s="14" t="s">
        <v>2016</v>
      </c>
      <c r="H70" s="14" t="s">
        <v>1927</v>
      </c>
      <c r="I70" s="14" t="s">
        <v>2016</v>
      </c>
      <c r="J70" s="15">
        <v>46318</v>
      </c>
      <c r="K70" s="14" t="s">
        <v>2017</v>
      </c>
      <c r="L70" s="14" t="s">
        <v>1929</v>
      </c>
      <c r="M70" s="14" t="s">
        <v>2018</v>
      </c>
      <c r="N70" s="21" t="s">
        <v>1580</v>
      </c>
      <c r="O70" s="14" t="s">
        <v>2016</v>
      </c>
    </row>
    <row r="71" spans="1:15" ht="40.5" customHeight="1">
      <c r="A71" s="17">
        <v>70</v>
      </c>
      <c r="B71" s="17" t="s">
        <v>1452</v>
      </c>
      <c r="C71" s="17" t="s">
        <v>2128</v>
      </c>
      <c r="D71" s="17" t="s">
        <v>2129</v>
      </c>
      <c r="E71" s="17" t="s">
        <v>1581</v>
      </c>
      <c r="F71" s="17" t="s">
        <v>1548</v>
      </c>
      <c r="G71" s="17" t="s">
        <v>2019</v>
      </c>
      <c r="H71" s="17" t="s">
        <v>2020</v>
      </c>
      <c r="I71" s="17" t="s">
        <v>2021</v>
      </c>
      <c r="J71" s="18">
        <v>46318</v>
      </c>
      <c r="K71" s="17" t="s">
        <v>2022</v>
      </c>
      <c r="L71" s="17" t="s">
        <v>1653</v>
      </c>
      <c r="M71" s="17" t="s">
        <v>2023</v>
      </c>
      <c r="N71" s="19">
        <v>46218.678854166668</v>
      </c>
      <c r="O71" s="17" t="s">
        <v>2024</v>
      </c>
    </row>
    <row r="72" spans="1:15" ht="27" customHeight="1">
      <c r="A72" s="14">
        <v>71</v>
      </c>
      <c r="B72" s="14" t="s">
        <v>1468</v>
      </c>
      <c r="C72" s="14" t="s">
        <v>2130</v>
      </c>
      <c r="D72" s="14" t="s">
        <v>2131</v>
      </c>
      <c r="E72" s="14" t="s">
        <v>1618</v>
      </c>
      <c r="F72" s="14" t="s">
        <v>1548</v>
      </c>
      <c r="G72" s="14" t="s">
        <v>2025</v>
      </c>
      <c r="H72" s="14" t="s">
        <v>2026</v>
      </c>
      <c r="I72" s="14" t="s">
        <v>2027</v>
      </c>
      <c r="J72" s="15">
        <v>46318</v>
      </c>
      <c r="K72" s="14" t="s">
        <v>2028</v>
      </c>
      <c r="L72" s="14" t="s">
        <v>1653</v>
      </c>
      <c r="M72" s="14" t="s">
        <v>2029</v>
      </c>
      <c r="N72" s="16">
        <v>45913.159467592595</v>
      </c>
      <c r="O72" s="14" t="s">
        <v>2030</v>
      </c>
    </row>
    <row r="73" spans="1:15" ht="40.5" customHeight="1">
      <c r="A73" s="17">
        <v>72</v>
      </c>
      <c r="B73" s="17" t="s">
        <v>1489</v>
      </c>
      <c r="C73" s="17" t="s">
        <v>2132</v>
      </c>
      <c r="D73" s="17" t="s">
        <v>2133</v>
      </c>
      <c r="E73" s="17" t="s">
        <v>1638</v>
      </c>
      <c r="F73" s="17" t="s">
        <v>1548</v>
      </c>
      <c r="G73" s="17" t="s">
        <v>2031</v>
      </c>
      <c r="H73" s="17" t="s">
        <v>2032</v>
      </c>
      <c r="I73" s="17" t="s">
        <v>2033</v>
      </c>
      <c r="J73" s="18">
        <v>46318</v>
      </c>
      <c r="K73" s="17" t="s">
        <v>2008</v>
      </c>
      <c r="L73" s="17" t="s">
        <v>1653</v>
      </c>
      <c r="M73" s="17" t="s">
        <v>2034</v>
      </c>
      <c r="N73" s="19">
        <v>46307.400543981479</v>
      </c>
      <c r="O73" s="17" t="s">
        <v>2035</v>
      </c>
    </row>
    <row r="74" spans="1:15" ht="40.5" customHeight="1">
      <c r="A74" s="14">
        <v>73</v>
      </c>
      <c r="B74" s="14" t="s">
        <v>1510</v>
      </c>
      <c r="C74" s="14" t="s">
        <v>1639</v>
      </c>
      <c r="D74" s="14" t="s">
        <v>2134</v>
      </c>
      <c r="E74" s="14" t="s">
        <v>1605</v>
      </c>
      <c r="F74" s="14" t="s">
        <v>1553</v>
      </c>
      <c r="G74" s="14" t="s">
        <v>2036</v>
      </c>
      <c r="H74" s="14" t="s">
        <v>2037</v>
      </c>
      <c r="I74" s="14" t="s">
        <v>2038</v>
      </c>
      <c r="J74" s="15">
        <v>46318</v>
      </c>
      <c r="K74" s="14" t="s">
        <v>1761</v>
      </c>
      <c r="L74" s="14" t="s">
        <v>1653</v>
      </c>
      <c r="M74" s="14" t="s">
        <v>2039</v>
      </c>
      <c r="N74" s="16">
        <v>46045.191550925927</v>
      </c>
      <c r="O74" s="14" t="s">
        <v>2040</v>
      </c>
    </row>
    <row r="75" spans="1:15" ht="40.5" customHeight="1">
      <c r="A75" s="17">
        <v>74</v>
      </c>
      <c r="B75" s="17" t="s">
        <v>1528</v>
      </c>
      <c r="C75" s="17" t="s">
        <v>1640</v>
      </c>
      <c r="D75" s="17" t="s">
        <v>2135</v>
      </c>
      <c r="E75" s="17" t="s">
        <v>1605</v>
      </c>
      <c r="F75" s="17" t="s">
        <v>1553</v>
      </c>
      <c r="G75" s="17" t="s">
        <v>2041</v>
      </c>
      <c r="H75" s="17" t="s">
        <v>2042</v>
      </c>
      <c r="I75" s="17" t="s">
        <v>2041</v>
      </c>
      <c r="J75" s="18">
        <v>46318</v>
      </c>
      <c r="K75" s="17" t="s">
        <v>1761</v>
      </c>
      <c r="L75" s="17" t="s">
        <v>1653</v>
      </c>
      <c r="M75" s="17" t="s">
        <v>2043</v>
      </c>
      <c r="N75" s="19">
        <v>46218.504328703704</v>
      </c>
      <c r="O75" s="17" t="s">
        <v>2044</v>
      </c>
    </row>
  </sheetData>
  <phoneticPr fontId="4" type="noConversion"/>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
  <sheetViews>
    <sheetView topLeftCell="A13" zoomScale="130" zoomScaleNormal="130" workbookViewId="0">
      <selection activeCell="B7" sqref="B7"/>
    </sheetView>
  </sheetViews>
  <sheetFormatPr defaultRowHeight="13.5"/>
  <cols>
    <col min="1" max="1" width="48" customWidth="1"/>
    <col min="2" max="2" width="60" customWidth="1"/>
  </cols>
  <sheetData>
    <row r="1" spans="1:2">
      <c r="A1" s="9" t="s">
        <v>1641</v>
      </c>
      <c r="B1" s="4" t="s">
        <v>1642</v>
      </c>
    </row>
    <row r="2" spans="1:2" ht="27" customHeight="1">
      <c r="A2" s="9" t="s">
        <v>1643</v>
      </c>
      <c r="B2" s="10" t="s">
        <v>1644</v>
      </c>
    </row>
    <row r="3" spans="1:2">
      <c r="A3" s="9" t="s">
        <v>1645</v>
      </c>
      <c r="B3" s="10" t="s">
        <v>103</v>
      </c>
    </row>
    <row r="4" spans="1:2" ht="27" customHeight="1">
      <c r="A4" s="9" t="s">
        <v>1646</v>
      </c>
      <c r="B4" s="10" t="s">
        <v>1644</v>
      </c>
    </row>
    <row r="5" spans="1:2">
      <c r="A5" t="s">
        <v>1647</v>
      </c>
      <c r="B5" t="s">
        <v>1648</v>
      </c>
    </row>
  </sheetData>
  <phoneticPr fontId="4" type="noConversion"/>
  <dataValidations count="1">
    <dataValidation type="list" allowBlank="1" showErrorMessage="1" errorTitle="取值无效" error="请从下拉列表中选择" sqref="B2 B4" xr:uid="{00000000-0002-0000-0300-000000000000}">
      <formula1>"Yes,No"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Instructions</vt:lpstr>
      <vt:lpstr>Coding</vt:lpstr>
      <vt:lpstr>Benchmark register</vt:lpstr>
      <vt:lpstr>Coder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 kang</cp:lastModifiedBy>
  <dcterms:created xsi:type="dcterms:W3CDTF">2026-10-19T08:13:00Z</dcterms:created>
  <dcterms:modified xsi:type="dcterms:W3CDTF">2026-10-23T11:54:22Z</dcterms:modified>
</cp:coreProperties>
</file>